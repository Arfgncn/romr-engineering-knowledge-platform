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2e2c63a12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BOM" sheetId="1" r:id="Rac70952bbc4b4084"/>
    <x:sheet xmlns:r="http://schemas.openxmlformats.org/officeDocument/2006/relationships" name="Dashboard" sheetId="2" r:id="Rd6a584c375e949f5"/>
    <x:sheet xmlns:r="http://schemas.openxmlformats.org/officeDocument/2006/relationships" name="README" sheetId="3" r:id="Rf20d862ad79f43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B1F33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200" fontId="0" fillId="0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1b245d4cc4d23" /><Relationship Type="http://schemas.openxmlformats.org/officeDocument/2006/relationships/theme" Target="/xl/theme/theme1.xml" Id="Rf93ef172467e4b00" /><Relationship Type="http://schemas.openxmlformats.org/officeDocument/2006/relationships/sharedStrings" Target="/xl/sharedStrings.xml" Id="Re62fa218f97d461f" /><Relationship Type="http://schemas.openxmlformats.org/officeDocument/2006/relationships/worksheet" Target="/xl/worksheets/sheet1.xml" Id="Rac70952bbc4b4084" /><Relationship Type="http://schemas.openxmlformats.org/officeDocument/2006/relationships/worksheet" Target="/xl/worksheets/sheet2.xml" Id="Rd6a584c375e949f5" /><Relationship Type="http://schemas.openxmlformats.org/officeDocument/2006/relationships/worksheet" Target="/xl/worksheets/sheet3.xml" Id="Rf20d862ad79f43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d744de814146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BOM Lines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Line Count</c:v>
          </c:tx>
          <c:cat>
            <c:strRef>
              <c:f>'Dashboard'!$A$11:$A$27</c:f>
              <c:strCache>
                <c:ptCount val="0"/>
              </c:strCache>
            </c:strRef>
          </c:cat>
          <c:val>
            <c:numRef>
              <c:f>'Dashboard'!$B$11:$B$27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d744de8141466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MRMasterBOMTable" displayName="ROMRMasterBOMTable" ref="A1:L51" headerRowCount="1">
  <x:tableColumns count="12">
    <x:tableColumn id="1" name="BOM ID"/>
    <x:tableColumn id="2" name="Category"/>
    <x:tableColumn id="3" name="Subsystem"/>
    <x:tableColumn id="4" name="Item"/>
    <x:tableColumn id="5" name="Reference Specification"/>
    <x:tableColumn id="6" name="Engineering Function"/>
    <x:tableColumn id="7" name="Qty"/>
    <x:tableColumn id="8" name="Unit"/>
    <x:tableColumn id="9" name="Priority"/>
    <x:tableColumn id="10" name="Status"/>
    <x:tableColumn id="11" name="Git / Related Module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2107d8331c48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f06e003f3d14ff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0" hidden="0" customWidth="1"/>
    <x:col min="5" max="5" width="30" hidden="0" customWidth="1"/>
    <x:col min="6" max="6" width="40" hidden="0" customWidth="1"/>
    <x:col min="7" max="7" width="8" hidden="0" customWidth="1"/>
    <x:col min="8" max="8" width="10" hidden="0" customWidth="1"/>
    <x:col min="9" max="9" width="18" hidden="0" customWidth="1"/>
    <x:col min="10" max="10" width="14" hidden="0" customWidth="1"/>
    <x:col min="11" max="11" width="28" hidden="0" customWidth="1"/>
    <x:col min="12" max="12" width="38" hidden="0" customWidth="1"/>
  </x:cols>
  <x:sheetData>
    <x:row r="1">
      <x:c r="A1" s="26" t="str">
        <x:v>BOM ID</x:v>
      </x:c>
      <x:c r="B1" s="26" t="str">
        <x:v>Category</x:v>
      </x:c>
      <x:c r="C1" s="26" t="str">
        <x:v>Subsystem</x:v>
      </x:c>
      <x:c r="D1" s="26" t="str">
        <x:v>Item</x:v>
      </x:c>
      <x:c r="E1" s="26" t="str">
        <x:v>Reference Specification</x:v>
      </x:c>
      <x:c r="F1" s="26" t="str">
        <x:v>Engineering Function</x:v>
      </x:c>
      <x:c r="G1" s="26" t="str">
        <x:v>Qty</x:v>
      </x:c>
      <x:c r="H1" s="26" t="str">
        <x:v>Unit</x:v>
      </x:c>
      <x:c r="I1" s="26" t="str">
        <x:v>Priority</x:v>
      </x:c>
      <x:c r="J1" s="26" t="str">
        <x:v>Status</x:v>
      </x:c>
      <x:c r="K1" s="26" t="str">
        <x:v>Git / Related Module</x:v>
      </x:c>
      <x:c r="L1" s="26" t="str">
        <x:v>Notes</x:v>
      </x:c>
    </x:row>
    <x:row r="2">
      <x:c r="A2" s="27" t="str">
        <x:v>ROMR-BOM-001</x:v>
      </x:c>
      <x:c r="B2" s="27" t="str">
        <x:v>Carrier Platform</x:v>
      </x:c>
      <x:c r="C2" s="27" t="str">
        <x:v>Vehicle Base</x:v>
      </x:c>
      <x:c r="D2" s="27" t="str">
        <x:v>Heavy-duty multi-axle truck chassis</x:v>
      </x:c>
      <x:c r="E2" s="27" t="str">
        <x:v>8x4 or equivalent</x:v>
      </x:c>
      <x:c r="F2" s="27" t="str">
        <x:v>Mobile carrier for complete ROMR superstructure</x:v>
      </x:c>
      <x:c r="G2" s="27" t="n">
        <x:v>1</x:v>
      </x:c>
      <x:c r="H2" s="27" t="str">
        <x:v>set</x:v>
      </x:c>
      <x:c r="I2" s="27" t="str">
        <x:v>Critical</x:v>
      </x:c>
      <x:c r="J2" s="27" t="str">
        <x:v>Concept</x:v>
      </x:c>
      <x:c r="K2" s="27" t="str">
        <x:v>05-robot-arm-xy-rail.md</x:v>
      </x:c>
      <x:c r="L2" s="27" t="str">
        <x:v>Final chassis selection after weight and axle-load study</x:v>
      </x:c>
    </x:row>
    <x:row r="3">
      <x:c r="A3" s="27" t="str">
        <x:v>ROMR-BOM-002</x:v>
      </x:c>
      <x:c r="B3" s="27" t="str">
        <x:v>Carrier Platform</x:v>
      </x:c>
      <x:c r="C3" s="27" t="str">
        <x:v>Superstructure</x:v>
      </x:c>
      <x:c r="D3" s="27" t="str">
        <x:v>Modular steel superstructure frame</x:v>
      </x:c>
      <x:c r="E3" s="27" t="str">
        <x:v>ST52/equivalent steel</x:v>
      </x:c>
      <x:c r="F3" s="27" t="str">
        <x:v>Vibration-resistant frame for tanks, generator, robot, panels</x:v>
      </x:c>
      <x:c r="G3" s="27" t="n">
        <x:v>1</x:v>
      </x:c>
      <x:c r="H3" s="27" t="str">
        <x:v>set</x:v>
      </x:c>
      <x:c r="I3" s="27" t="str">
        <x:v>Critical</x:v>
      </x:c>
      <x:c r="J3" s="27" t="str">
        <x:v>Concept</x:v>
      </x:c>
      <x:c r="K3" s="27" t="str">
        <x:v>01-system-flow.md</x:v>
      </x:c>
      <x:c r="L3" s="27" t="str">
        <x:v>Service access and torsional rigidity required</x:v>
      </x:c>
    </x:row>
    <x:row r="4">
      <x:c r="A4" s="27" t="str">
        <x:v>ROMR-BOM-003</x:v>
      </x:c>
      <x:c r="B4" s="27" t="str">
        <x:v>Power Generation</x:v>
      </x:c>
      <x:c r="C4" s="27" t="str">
        <x:v>Generator</x:v>
      </x:c>
      <x:c r="D4" s="27" t="str">
        <x:v>Industrial turbine generator system</x:v>
      </x:c>
      <x:c r="E4" s="27" t="str">
        <x:v>2 × 180 kW reference</x:v>
      </x:c>
      <x:c r="F4" s="27" t="str">
        <x:v>Onboard high-power electrical supply</x:v>
      </x:c>
      <x:c r="G4" s="27" t="n">
        <x:v>2</x:v>
      </x:c>
      <x:c r="H4" s="27" t="str">
        <x:v>unit</x:v>
      </x:c>
      <x:c r="I4" s="27" t="str">
        <x:v>Critical / Validate</x:v>
      </x:c>
      <x:c r="J4" s="27" t="str">
        <x:v>Reference</x:v>
      </x:c>
      <x:c r="K4" s="27" t="str">
        <x:v>06-power-electrical-architecture.md</x:v>
      </x:c>
      <x:c r="L4" s="27" t="str">
        <x:v>360 kW must be validated by thermal/power budget</x:v>
      </x:c>
    </x:row>
    <x:row r="5">
      <x:c r="A5" s="27" t="str">
        <x:v>ROMR-BOM-004</x:v>
      </x:c>
      <x:c r="B5" s="27" t="str">
        <x:v>Power Generation</x:v>
      </x:c>
      <x:c r="C5" s="27" t="str">
        <x:v>Fuel System</x:v>
      </x:c>
      <x:c r="D5" s="27" t="str">
        <x:v>Main fuel tank and fuel delivery system</x:v>
      </x:c>
      <x:c r="E5" s="27" t="str">
        <x:v>Industrial fuel architecture</x:v>
      </x:c>
      <x:c r="F5" s="27" t="str">
        <x:v>Fuel storage and supply for onboard generators</x:v>
      </x:c>
      <x:c r="G5" s="27" t="n">
        <x:v>1</x:v>
      </x:c>
      <x:c r="H5" s="27" t="str">
        <x:v>set</x:v>
      </x:c>
      <x:c r="I5" s="27" t="str">
        <x:v>Critical</x:v>
      </x:c>
      <x:c r="J5" s="27" t="str">
        <x:v>Concept</x:v>
      </x:c>
      <x:c r="K5" s="27" t="str">
        <x:v>06-power-electrical-architecture.md</x:v>
      </x:c>
      <x:c r="L5" s="27" t="str">
        <x:v>Include filtration, return line, leak detection</x:v>
      </x:c>
    </x:row>
    <x:row r="6">
      <x:c r="A6" s="27" t="str">
        <x:v>ROMR-BOM-005</x:v>
      </x:c>
      <x:c r="B6" s="27" t="str">
        <x:v>Electrical</x:v>
      </x:c>
      <x:c r="C6" s="27" t="str">
        <x:v>Main Panel</x:v>
      </x:c>
      <x:c r="D6" s="27" t="str">
        <x:v>Main AC distribution panel</x:v>
      </x:c>
      <x:c r="E6" s="27" t="str">
        <x:v>400–480 VAC 3-phase</x:v>
      </x:c>
      <x:c r="F6" s="27" t="str">
        <x:v>Distributes generator power to high-power loads</x:v>
      </x:c>
      <x:c r="G6" s="27" t="n">
        <x:v>1</x:v>
      </x:c>
      <x:c r="H6" s="27" t="str">
        <x:v>set</x:v>
      </x:c>
      <x:c r="I6" s="27" t="str">
        <x:v>Critical</x:v>
      </x:c>
      <x:c r="J6" s="27" t="str">
        <x:v>Concept</x:v>
      </x:c>
      <x:c r="K6" s="27" t="str">
        <x:v>06-power-electrical-architecture.md</x:v>
      </x:c>
      <x:c r="L6" s="27" t="str">
        <x:v>Include protection, isolators, load metering</x:v>
      </x:c>
    </x:row>
    <x:row r="7">
      <x:c r="A7" s="27" t="str">
        <x:v>ROMR-BOM-006</x:v>
      </x:c>
      <x:c r="B7" s="27" t="str">
        <x:v>Electrical</x:v>
      </x:c>
      <x:c r="C7" s="27" t="str">
        <x:v>Load Management</x:v>
      </x:c>
      <x:c r="D7" s="27" t="str">
        <x:v>Load management controller</x:v>
      </x:c>
      <x:c r="E7" s="27" t="str">
        <x:v>PLC-linked</x:v>
      </x:c>
      <x:c r="F7" s="27" t="str">
        <x:v>Prioritizes safety, control, induction, robot and auxiliaries</x:v>
      </x:c>
      <x:c r="G7" s="27" t="n">
        <x:v>1</x:v>
      </x:c>
      <x:c r="H7" s="27" t="str">
        <x:v>unit</x:v>
      </x:c>
      <x:c r="I7" s="27" t="str">
        <x:v>Critical</x:v>
      </x:c>
      <x:c r="J7" s="27" t="str">
        <x:v>Concept</x:v>
      </x:c>
      <x:c r="K7" s="27" t="str">
        <x:v>07-plc-control-system.md</x:v>
      </x:c>
      <x:c r="L7" s="27" t="str">
        <x:v>Supports safe load shedding</x:v>
      </x:c>
    </x:row>
    <x:row r="8">
      <x:c r="A8" s="27" t="str">
        <x:v>ROMR-BOM-007</x:v>
      </x:c>
      <x:c r="B8" s="27" t="str">
        <x:v>Electrical</x:v>
      </x:c>
      <x:c r="C8" s="27" t="str">
        <x:v>Cabling</x:v>
      </x:c>
      <x:c r="D8" s="27" t="str">
        <x:v>EMI-separated cable channels</x:v>
      </x:c>
      <x:c r="E8" s="27" t="str">
        <x:v>Industrial cable routing</x:v>
      </x:c>
      <x:c r="F8" s="27" t="str">
        <x:v>Separates induction power from sensors and communication</x:v>
      </x:c>
      <x:c r="G8" s="27" t="n">
        <x:v>1</x:v>
      </x:c>
      <x:c r="H8" s="27" t="str">
        <x:v>set</x:v>
      </x:c>
      <x:c r="I8" s="27" t="str">
        <x:v>Critical</x:v>
      </x:c>
      <x:c r="J8" s="27" t="str">
        <x:v>Concept</x:v>
      </x:c>
      <x:c r="K8" s="27" t="str">
        <x:v>06-power-electrical-architecture.md</x:v>
      </x:c>
      <x:c r="L8" s="27" t="str">
        <x:v>Use shielding and grounding strategy</x:v>
      </x:c>
    </x:row>
    <x:row r="9">
      <x:c r="A9" s="27" t="str">
        <x:v>ROMR-BOM-008</x:v>
      </x:c>
      <x:c r="B9" s="27" t="str">
        <x:v>Pellet Paint System</x:v>
      </x:c>
      <x:c r="C9" s="27" t="str">
        <x:v>Storage</x:v>
      </x:c>
      <x:c r="D9" s="27" t="str">
        <x:v>Pellet thermoplastic paint tank</x:v>
      </x:c>
      <x:c r="E9" s="27" t="str">
        <x:v>~4,000 kg reference</x:v>
      </x:c>
      <x:c r="F9" s="27" t="str">
        <x:v>Stores thermoplastic paint pellets</x:v>
      </x:c>
      <x:c r="G9" s="27" t="n">
        <x:v>1</x:v>
      </x:c>
      <x:c r="H9" s="27" t="str">
        <x:v>tank</x:v>
      </x:c>
      <x:c r="I9" s="27" t="str">
        <x:v>Critical</x:v>
      </x:c>
      <x:c r="J9" s="27" t="str">
        <x:v>Concept</x:v>
      </x:c>
      <x:c r="K9" s="27" t="str">
        <x:v>02-pellet-paint-system.md</x:v>
      </x:c>
      <x:c r="L9" s="27" t="str">
        <x:v>Moisture protection and access hatch</x:v>
      </x:c>
    </x:row>
    <x:row r="10">
      <x:c r="A10" s="27" t="str">
        <x:v>ROMR-BOM-009</x:v>
      </x:c>
      <x:c r="B10" s="27" t="str">
        <x:v>Pellet Paint System</x:v>
      </x:c>
      <x:c r="C10" s="27" t="str">
        <x:v>Storage</x:v>
      </x:c>
      <x:c r="D10" s="27" t="str">
        <x:v>Low-speed internal mixer / agitator</x:v>
      </x:c>
      <x:c r="E10" s="27" t="str">
        <x:v>Tank-integrated</x:v>
      </x:c>
      <x:c r="F10" s="27" t="str">
        <x:v>Prevents bridging and irregular pellet feeding</x:v>
      </x:c>
      <x:c r="G10" s="27" t="n">
        <x:v>1</x:v>
      </x:c>
      <x:c r="H10" s="27" t="str">
        <x:v>set</x:v>
      </x:c>
      <x:c r="I10" s="27" t="str">
        <x:v>Critical</x:v>
      </x:c>
      <x:c r="J10" s="27" t="str">
        <x:v>Concept</x:v>
      </x:c>
      <x:c r="K10" s="27" t="str">
        <x:v>02-pellet-paint-system.md</x:v>
      </x:c>
      <x:c r="L10" s="27" t="str">
        <x:v>Torque monitoring recommended</x:v>
      </x:c>
    </x:row>
    <x:row r="11">
      <x:c r="A11" s="27" t="str">
        <x:v>ROMR-BOM-010</x:v>
      </x:c>
      <x:c r="B11" s="27" t="str">
        <x:v>Pellet Paint System</x:v>
      </x:c>
      <x:c r="C11" s="27" t="str">
        <x:v>Feed</x:v>
      </x:c>
      <x:c r="D11" s="27" t="str">
        <x:v>Servo screw feeder / screw pump</x:v>
      </x:c>
      <x:c r="E11" s="27" t="str">
        <x:v>Closed-loop feed</x:v>
      </x:c>
      <x:c r="F11" s="27" t="str">
        <x:v>Metered pellet feed into induction line</x:v>
      </x:c>
      <x:c r="G11" s="27" t="n">
        <x:v>1</x:v>
      </x:c>
      <x:c r="H11" s="27" t="str">
        <x:v>set</x:v>
      </x:c>
      <x:c r="I11" s="27" t="str">
        <x:v>Critical</x:v>
      </x:c>
      <x:c r="J11" s="27" t="str">
        <x:v>Concept</x:v>
      </x:c>
      <x:c r="K11" s="27" t="str">
        <x:v>02-pellet-paint-system.md</x:v>
      </x:c>
      <x:c r="L11" s="27" t="str">
        <x:v>Jam detection and reverse sequence</x:v>
      </x:c>
    </x:row>
    <x:row r="12">
      <x:c r="A12" s="27" t="str">
        <x:v>ROMR-BOM-011</x:v>
      </x:c>
      <x:c r="B12" s="27" t="str">
        <x:v>Pellet Paint System</x:v>
      </x:c>
      <x:c r="C12" s="27" t="str">
        <x:v>Conditioning</x:v>
      </x:c>
      <x:c r="D12" s="27" t="str">
        <x:v>Flow conditioning chamber</x:v>
      </x:c>
      <x:c r="E12" s="27" t="str">
        <x:v>Pre-induction chamber</x:v>
      </x:c>
      <x:c r="F12" s="27" t="str">
        <x:v>Stabilizes feed before induction heating</x:v>
      </x:c>
      <x:c r="G12" s="27" t="n">
        <x:v>1</x:v>
      </x:c>
      <x:c r="H12" s="27" t="str">
        <x:v>unit</x:v>
      </x:c>
      <x:c r="I12" s="27" t="str">
        <x:v>Critical</x:v>
      </x:c>
      <x:c r="J12" s="27" t="str">
        <x:v>Concept</x:v>
      </x:c>
      <x:c r="K12" s="27" t="str">
        <x:v>02-pellet-paint-system.md</x:v>
      </x:c>
      <x:c r="L12" s="27" t="str">
        <x:v>Pressure and temperature monitoring</x:v>
      </x:c>
    </x:row>
    <x:row r="13">
      <x:c r="A13" s="27" t="str">
        <x:v>ROMR-BOM-012</x:v>
      </x:c>
      <x:c r="B13" s="27" t="str">
        <x:v>Glass Bead System</x:v>
      </x:c>
      <x:c r="C13" s="27" t="str">
        <x:v>Storage</x:v>
      </x:c>
      <x:c r="D13" s="27" t="str">
        <x:v>Glass bead tank</x:v>
      </x:c>
      <x:c r="E13" s="27" t="str">
        <x:v>~750 kg reference</x:v>
      </x:c>
      <x:c r="F13" s="27" t="str">
        <x:v>Stores reflective glass beads</x:v>
      </x:c>
      <x:c r="G13" s="27" t="n">
        <x:v>1</x:v>
      </x:c>
      <x:c r="H13" s="27" t="str">
        <x:v>tank</x:v>
      </x:c>
      <x:c r="I13" s="27" t="str">
        <x:v>Critical</x:v>
      </x:c>
      <x:c r="J13" s="27" t="str">
        <x:v>Concept</x:v>
      </x:c>
      <x:c r="K13" s="27" t="str">
        <x:v>12-prototype-bom.md</x:v>
      </x:c>
      <x:c r="L13" s="27" t="str">
        <x:v>Level and dosing feedback</x:v>
      </x:c>
    </x:row>
    <x:row r="14">
      <x:c r="A14" s="27" t="str">
        <x:v>ROMR-BOM-013</x:v>
      </x:c>
      <x:c r="B14" s="27" t="str">
        <x:v>Glass Bead System</x:v>
      </x:c>
      <x:c r="C14" s="27" t="str">
        <x:v>Dosing</x:v>
      </x:c>
      <x:c r="D14" s="27" t="str">
        <x:v>Glass bead dosing unit</x:v>
      </x:c>
      <x:c r="E14" s="27" t="str">
        <x:v>Servo / pneumatic dosing</x:v>
      </x:c>
      <x:c r="F14" s="27" t="str">
        <x:v>Controlled bead application to line surface</x:v>
      </x:c>
      <x:c r="G14" s="27" t="n">
        <x:v>1</x:v>
      </x:c>
      <x:c r="H14" s="27" t="str">
        <x:v>set</x:v>
      </x:c>
      <x:c r="I14" s="27" t="str">
        <x:v>Critical</x:v>
      </x:c>
      <x:c r="J14" s="27" t="str">
        <x:v>Concept</x:v>
      </x:c>
      <x:c r="K14" s="27" t="str">
        <x:v>07-plc-control-system.md</x:v>
      </x:c>
      <x:c r="L14" s="27" t="str">
        <x:v>Closed-loop bead flow target</x:v>
      </x:c>
    </x:row>
    <x:row r="15">
      <x:c r="A15" s="27" t="str">
        <x:v>ROMR-BOM-014</x:v>
      </x:c>
      <x:c r="B15" s="27" t="str">
        <x:v>Induction Heating</x:v>
      </x:c>
      <x:c r="C15" s="27" t="str">
        <x:v>Thermal Line</x:v>
      </x:c>
      <x:c r="D15" s="27" t="str">
        <x:v>Multi-stage induction transfer line</x:v>
      </x:c>
      <x:c r="E15" s="27" t="str">
        <x:v>Approx. 4 m reference</x:v>
      </x:c>
      <x:c r="F15" s="27" t="str">
        <x:v>Kademeli paint heating before gun</x:v>
      </x:c>
      <x:c r="G15" s="27" t="n">
        <x:v>1</x:v>
      </x:c>
      <x:c r="H15" s="27" t="str">
        <x:v>set</x:v>
      </x:c>
      <x:c r="I15" s="27" t="str">
        <x:v>Critical</x:v>
      </x:c>
      <x:c r="J15" s="27" t="str">
        <x:v>Concept</x:v>
      </x:c>
      <x:c r="K15" s="27" t="str">
        <x:v>03-induction-heating-system.md</x:v>
      </x:c>
      <x:c r="L15" s="27" t="str">
        <x:v>Multi-zone PID architecture</x:v>
      </x:c>
    </x:row>
    <x:row r="16">
      <x:c r="A16" s="27" t="str">
        <x:v>ROMR-BOM-015</x:v>
      </x:c>
      <x:c r="B16" s="27" t="str">
        <x:v>Induction Heating</x:v>
      </x:c>
      <x:c r="C16" s="27" t="str">
        <x:v>Power</x:v>
      </x:c>
      <x:c r="D16" s="27" t="str">
        <x:v>Induction inverter modules</x:v>
      </x:c>
      <x:c r="E16" s="27" t="str">
        <x:v>Per heating zone</x:v>
      </x:c>
      <x:c r="F16" s="27" t="str">
        <x:v>Supplies controlled induction power to zones</x:v>
      </x:c>
      <x:c r="G16" s="27" t="n">
        <x:v>5</x:v>
      </x:c>
      <x:c r="H16" s="27" t="str">
        <x:v>unit</x:v>
      </x:c>
      <x:c r="I16" s="27" t="str">
        <x:v>Critical</x:v>
      </x:c>
      <x:c r="J16" s="27" t="str">
        <x:v>Concept</x:v>
      </x:c>
      <x:c r="K16" s="27" t="str">
        <x:v>03-induction-heating-system.md</x:v>
      </x:c>
      <x:c r="L16" s="27" t="str">
        <x:v>Number of zones prototype-dependent</x:v>
      </x:c>
    </x:row>
    <x:row r="17">
      <x:c r="A17" s="27" t="str">
        <x:v>ROMR-BOM-016</x:v>
      </x:c>
      <x:c r="B17" s="27" t="str">
        <x:v>Induction Heating</x:v>
      </x:c>
      <x:c r="C17" s="27" t="str">
        <x:v>Coils</x:v>
      </x:c>
      <x:c r="D17" s="27" t="str">
        <x:v>Induction heating coils</x:v>
      </x:c>
      <x:c r="E17" s="27" t="str">
        <x:v>Zone-specific</x:v>
      </x:c>
      <x:c r="F17" s="27" t="str">
        <x:v>Applies heating energy to transfer line/gun body</x:v>
      </x:c>
      <x:c r="G17" s="27" t="n">
        <x:v>5</x:v>
      </x:c>
      <x:c r="H17" s="27" t="str">
        <x:v>unit</x:v>
      </x:c>
      <x:c r="I17" s="27" t="str">
        <x:v>Critical</x:v>
      </x:c>
      <x:c r="J17" s="27" t="str">
        <x:v>Concept</x:v>
      </x:c>
      <x:c r="K17" s="27" t="str">
        <x:v>03-induction-heating-system.md</x:v>
      </x:c>
      <x:c r="L17" s="27" t="str">
        <x:v>Coil geometry after validation</x:v>
      </x:c>
    </x:row>
    <x:row r="18">
      <x:c r="A18" s="27" t="str">
        <x:v>ROMR-BOM-017</x:v>
      </x:c>
      <x:c r="B18" s="27" t="str">
        <x:v>Induction Heating</x:v>
      </x:c>
      <x:c r="C18" s="27" t="str">
        <x:v>Insulation</x:v>
      </x:c>
      <x:c r="D18" s="27" t="str">
        <x:v>High-temperature insulation system</x:v>
      </x:c>
      <x:c r="E18" s="27" t="str">
        <x:v>Industrial insulation</x:v>
      </x:c>
      <x:c r="F18" s="27" t="str">
        <x:v>Minimizes heat loss and protects surrounding equipment</x:v>
      </x:c>
      <x:c r="G18" s="27" t="n">
        <x:v>1</x:v>
      </x:c>
      <x:c r="H18" s="27" t="str">
        <x:v>set</x:v>
      </x:c>
      <x:c r="I18" s="27" t="str">
        <x:v>Critical</x:v>
      </x:c>
      <x:c r="J18" s="27" t="str">
        <x:v>Concept</x:v>
      </x:c>
      <x:c r="K18" s="27" t="str">
        <x:v>03-induction-heating-system.md</x:v>
      </x:c>
      <x:c r="L18" s="27" t="str">
        <x:v>Robot arm final section included</x:v>
      </x:c>
    </x:row>
    <x:row r="19">
      <x:c r="A19" s="27" t="str">
        <x:v>ROMR-BOM-018</x:v>
      </x:c>
      <x:c r="B19" s="27" t="str">
        <x:v>Application System</x:v>
      </x:c>
      <x:c r="C19" s="27" t="str">
        <x:v>Industrial Robot</x:v>
      </x:c>
      <x:c r="D19" s="27" t="str">
        <x:v>6-axis industrial robot</x:v>
      </x:c>
      <x:c r="E19" s="27" t="str">
        <x:v>Preferred: KUKA KR class; alternatives ABB/FANUC/Yaskawa</x:v>
      </x:c>
      <x:c r="F19" s="27" t="str">
        <x:v>Carries gun and executes RMDE coordinates</x:v>
      </x:c>
      <x:c r="G19" s="27" t="n">
        <x:v>1</x:v>
      </x:c>
      <x:c r="H19" s="27" t="str">
        <x:v>unit</x:v>
      </x:c>
      <x:c r="I19" s="27" t="str">
        <x:v>Critical</x:v>
      </x:c>
      <x:c r="J19" s="27" t="str">
        <x:v>Reference</x:v>
      </x:c>
      <x:c r="K19" s="27" t="str">
        <x:v>05-robot-arm-xy-rail.md</x:v>
      </x:c>
      <x:c r="L19" s="27" t="str">
        <x:v>Recommended 50–70 kg payload class</x:v>
      </x:c>
    </x:row>
    <x:row r="20">
      <x:c r="A20" s="27" t="str">
        <x:v>ROMR-BOM-019</x:v>
      </x:c>
      <x:c r="B20" s="27" t="str">
        <x:v>Application System</x:v>
      </x:c>
      <x:c r="C20" s="27" t="str">
        <x:v>Linear Motion</x:v>
      </x:c>
      <x:c r="D20" s="27" t="str">
        <x:v>X/Y linear rail system</x:v>
      </x:c>
      <x:c r="E20" s="27" t="str">
        <x:v>Industrial rail axes</x:v>
      </x:c>
      <x:c r="F20" s="27" t="str">
        <x:v>Extends robot reach for longitudinal/lateral marking</x:v>
      </x:c>
      <x:c r="G20" s="27" t="n">
        <x:v>1</x:v>
      </x:c>
      <x:c r="H20" s="27" t="str">
        <x:v>set</x:v>
      </x:c>
      <x:c r="I20" s="27" t="str">
        <x:v>Critical</x:v>
      </x:c>
      <x:c r="J20" s="27" t="str">
        <x:v>Concept</x:v>
      </x:c>
      <x:c r="K20" s="27" t="str">
        <x:v>05-robot-arm-xy-rail.md</x:v>
      </x:c>
      <x:c r="L20" s="27" t="str">
        <x:v>Include servo drives and limit switches</x:v>
      </x:c>
    </x:row>
    <x:row r="21">
      <x:c r="A21" s="27" t="str">
        <x:v>ROMR-BOM-020</x:v>
      </x:c>
      <x:c r="B21" s="27" t="str">
        <x:v>Application System</x:v>
      </x:c>
      <x:c r="C21" s="27" t="str">
        <x:v>Mounting</x:v>
      </x:c>
      <x:c r="D21" s="27" t="str">
        <x:v>Robot base and vibration-isolated mounting frame</x:v>
      </x:c>
      <x:c r="E21" s="27" t="str">
        <x:v>Industrial-grade</x:v>
      </x:c>
      <x:c r="F21" s="27" t="str">
        <x:v>Rigid and stable robot mounting on vehicle frame</x:v>
      </x:c>
      <x:c r="G21" s="27" t="n">
        <x:v>1</x:v>
      </x:c>
      <x:c r="H21" s="27" t="str">
        <x:v>set</x:v>
      </x:c>
      <x:c r="I21" s="27" t="str">
        <x:v>Critical</x:v>
      </x:c>
      <x:c r="J21" s="27" t="str">
        <x:v>Concept</x:v>
      </x:c>
      <x:c r="K21" s="27" t="str">
        <x:v>05-robot-arm-xy-rail.md</x:v>
      </x:c>
      <x:c r="L21" s="27" t="str">
        <x:v>Vibration compensation strategy required</x:v>
      </x:c>
    </x:row>
    <x:row r="22">
      <x:c r="A22" s="27" t="str">
        <x:v>ROMR-BOM-021</x:v>
      </x:c>
      <x:c r="B22" s="27" t="str">
        <x:v>Application System</x:v>
      </x:c>
      <x:c r="C22" s="27" t="str">
        <x:v>Paint Gun</x:v>
      </x:c>
      <x:c r="D22" s="27" t="str">
        <x:v>Dual-bell rotary thermoplastic paint gun</x:v>
      </x:c>
      <x:c r="E22" s="27" t="str">
        <x:v>Next-generation applicator</x:v>
      </x:c>
      <x:c r="F22" s="27" t="str">
        <x:v>Circular homogeneous thermoplastic application</x:v>
      </x:c>
      <x:c r="G22" s="27" t="n">
        <x:v>1</x:v>
      </x:c>
      <x:c r="H22" s="27" t="str">
        <x:v>unit</x:v>
      </x:c>
      <x:c r="I22" s="27" t="str">
        <x:v>Critical Innovation</x:v>
      </x:c>
      <x:c r="J22" s="27" t="str">
        <x:v>Concept</x:v>
      </x:c>
      <x:c r="K22" s="27" t="str">
        <x:v>04-next-generation-thermoplastic-gun.md</x:v>
      </x:c>
      <x:c r="L22" s="27" t="str">
        <x:v>Rotary bell + fixed inner bell + angled air channels</x:v>
      </x:c>
    </x:row>
    <x:row r="23">
      <x:c r="A23" s="27" t="str">
        <x:v>ROMR-BOM-022</x:v>
      </x:c>
      <x:c r="B23" s="27" t="str">
        <x:v>Application System</x:v>
      </x:c>
      <x:c r="C23" s="27" t="str">
        <x:v>End Effector</x:v>
      </x:c>
      <x:c r="D23" s="27" t="str">
        <x:v>Robot wrist adapter</x:v>
      </x:c>
      <x:c r="E23" s="27" t="str">
        <x:v>Heavy-duty adapter</x:v>
      </x:c>
      <x:c r="F23" s="27" t="str">
        <x:v>Carries gun, heated line, suction hose, air and sensors</x:v>
      </x:c>
      <x:c r="G23" s="27" t="n">
        <x:v>1</x:v>
      </x:c>
      <x:c r="H23" s="27" t="str">
        <x:v>unit</x:v>
      </x:c>
      <x:c r="I23" s="27" t="str">
        <x:v>Critical</x:v>
      </x:c>
      <x:c r="J23" s="27" t="str">
        <x:v>Concept</x:v>
      </x:c>
      <x:c r="K23" s="27" t="str">
        <x:v>05-robot-arm-xy-rail.md</x:v>
      </x:c>
      <x:c r="L23" s="27" t="str">
        <x:v>Payload and CG validation required</x:v>
      </x:c>
    </x:row>
    <x:row r="24">
      <x:c r="A24" s="27" t="str">
        <x:v>ROMR-BOM-023</x:v>
      </x:c>
      <x:c r="B24" s="27" t="str">
        <x:v>Pneumatics</x:v>
      </x:c>
      <x:c r="C24" s="27" t="str">
        <x:v>Compressor</x:v>
      </x:c>
      <x:c r="D24" s="27" t="str">
        <x:v>6 bar screw compressor</x:v>
      </x:c>
      <x:c r="E24" s="27" t="str">
        <x:v>Industrial screw compressor</x:v>
      </x:c>
      <x:c r="F24" s="27" t="str">
        <x:v>Supplies atomizing air, purge air and valves</x:v>
      </x:c>
      <x:c r="G24" s="27" t="n">
        <x:v>1</x:v>
      </x:c>
      <x:c r="H24" s="27" t="str">
        <x:v>unit</x:v>
      </x:c>
      <x:c r="I24" s="27" t="str">
        <x:v>Critical</x:v>
      </x:c>
      <x:c r="J24" s="27" t="str">
        <x:v>Concept</x:v>
      </x:c>
      <x:c r="K24" s="27" t="str">
        <x:v>07-plc-control-system.md</x:v>
      </x:c>
      <x:c r="L24" s="27" t="str">
        <x:v>Size after gun air consumption test</x:v>
      </x:c>
    </x:row>
    <x:row r="25">
      <x:c r="A25" s="27" t="str">
        <x:v>ROMR-BOM-024</x:v>
      </x:c>
      <x:c r="B25" s="27" t="str">
        <x:v>Pneumatics</x:v>
      </x:c>
      <x:c r="C25" s="27" t="str">
        <x:v>Air Handling</x:v>
      </x:c>
      <x:c r="D25" s="27" t="str">
        <x:v>Air tank + dryer + regulator group</x:v>
      </x:c>
      <x:c r="E25" s="27" t="str">
        <x:v>6 bar system</x:v>
      </x:c>
      <x:c r="F25" s="27" t="str">
        <x:v>Stabilizes and conditions air supply</x:v>
      </x:c>
      <x:c r="G25" s="27" t="n">
        <x:v>1</x:v>
      </x:c>
      <x:c r="H25" s="27" t="str">
        <x:v>set</x:v>
      </x:c>
      <x:c r="I25" s="27" t="str">
        <x:v>Critical</x:v>
      </x:c>
      <x:c r="J25" s="27" t="str">
        <x:v>Concept</x:v>
      </x:c>
      <x:c r="K25" s="27" t="str">
        <x:v>07-plc-control-system.md</x:v>
      </x:c>
      <x:c r="L25" s="27" t="str">
        <x:v>Include moisture separator</x:v>
      </x:c>
    </x:row>
    <x:row r="26">
      <x:c r="A26" s="27" t="str">
        <x:v>ROMR-BOM-025</x:v>
      </x:c>
      <x:c r="B26" s="27" t="str">
        <x:v>Dust Extraction</x:v>
      </x:c>
      <x:c r="C26" s="27" t="str">
        <x:v>Capture</x:v>
      </x:c>
      <x:c r="D26" s="27" t="str">
        <x:v>Paint dust capture ring / suction manifold</x:v>
      </x:c>
      <x:c r="E26" s="27" t="str">
        <x:v>Gun-mounted</x:v>
      </x:c>
      <x:c r="F26" s="27" t="str">
        <x:v>Captures paint dust around spray zone</x:v>
      </x:c>
      <x:c r="G26" s="27" t="n">
        <x:v>1</x:v>
      </x:c>
      <x:c r="H26" s="27" t="str">
        <x:v>set</x:v>
      </x:c>
      <x:c r="I26" s="27" t="str">
        <x:v>Prototype Required</x:v>
      </x:c>
      <x:c r="J26" s="27" t="str">
        <x:v>Concept</x:v>
      </x:c>
      <x:c r="K26" s="27" t="str">
        <x:v>04-next-generation-thermoplastic-gun.md</x:v>
      </x:c>
      <x:c r="L26" s="27" t="str">
        <x:v>Geometry after spray testing</x:v>
      </x:c>
    </x:row>
    <x:row r="27">
      <x:c r="A27" s="27" t="str">
        <x:v>ROMR-BOM-026</x:v>
      </x:c>
      <x:c r="B27" s="27" t="str">
        <x:v>Dust Extraction</x:v>
      </x:c>
      <x:c r="C27" s="27" t="str">
        <x:v>Hose</x:v>
      </x:c>
      <x:c r="D27" s="27" t="str">
        <x:v>High-temp flexible extraction hose</x:v>
      </x:c>
      <x:c r="E27" s="27" t="str">
        <x:v>Abrasion/temperature resistant</x:v>
      </x:c>
      <x:c r="F27" s="27" t="str">
        <x:v>Transfers paint dust from robot to collection tank</x:v>
      </x:c>
      <x:c r="G27" s="27" t="n">
        <x:v>1</x:v>
      </x:c>
      <x:c r="H27" s="27" t="str">
        <x:v>set</x:v>
      </x:c>
      <x:c r="I27" s="27" t="str">
        <x:v>Prototype Required</x:v>
      </x:c>
      <x:c r="J27" s="27" t="str">
        <x:v>Concept</x:v>
      </x:c>
      <x:c r="K27" s="27" t="str">
        <x:v>05-robot-arm-xy-rail.md</x:v>
      </x:c>
      <x:c r="L27" s="27" t="str">
        <x:v>Must not overload robot wrist</x:v>
      </x:c>
    </x:row>
    <x:row r="28">
      <x:c r="A28" s="27" t="str">
        <x:v>ROMR-BOM-027</x:v>
      </x:c>
      <x:c r="B28" s="27" t="str">
        <x:v>Dust Extraction</x:v>
      </x:c>
      <x:c r="C28" s="27" t="str">
        <x:v>Fan</x:v>
      </x:c>
      <x:c r="D28" s="27" t="str">
        <x:v>Industrial jet fan / suction fan</x:v>
      </x:c>
      <x:c r="E28" s="27" t="str">
        <x:v>High suction</x:v>
      </x:c>
      <x:c r="F28" s="27" t="str">
        <x:v>Moves paint dust to underbody dust tank</x:v>
      </x:c>
      <x:c r="G28" s="27" t="n">
        <x:v>1</x:v>
      </x:c>
      <x:c r="H28" s="27" t="str">
        <x:v>unit</x:v>
      </x:c>
      <x:c r="I28" s="27" t="str">
        <x:v>Prototype Required</x:v>
      </x:c>
      <x:c r="J28" s="27" t="str">
        <x:v>Concept</x:v>
      </x:c>
      <x:c r="K28" s="27" t="str">
        <x:v>10-quality-control-system.md</x:v>
      </x:c>
      <x:c r="L28" s="27" t="str">
        <x:v>Vacuum sensor feedback</x:v>
      </x:c>
    </x:row>
    <x:row r="29">
      <x:c r="A29" s="27" t="str">
        <x:v>ROMR-BOM-028</x:v>
      </x:c>
      <x:c r="B29" s="27" t="str">
        <x:v>Dust Extraction</x:v>
      </x:c>
      <x:c r="C29" s="27" t="str">
        <x:v>Collection</x:v>
      </x:c>
      <x:c r="D29" s="27" t="str">
        <x:v>Dust separator and collection tank</x:v>
      </x:c>
      <x:c r="E29" s="27" t="str">
        <x:v>Underbody tank</x:v>
      </x:c>
      <x:c r="F29" s="27" t="str">
        <x:v>Collects paint dust for disposal</x:v>
      </x:c>
      <x:c r="G29" s="27" t="n">
        <x:v>1</x:v>
      </x:c>
      <x:c r="H29" s="27" t="str">
        <x:v>set</x:v>
      </x:c>
      <x:c r="I29" s="27" t="str">
        <x:v>Prototype Required</x:v>
      </x:c>
      <x:c r="J29" s="27" t="str">
        <x:v>Concept</x:v>
      </x:c>
      <x:c r="K29" s="27" t="str">
        <x:v>12-prototype-bom.md</x:v>
      </x:c>
      <x:c r="L29" s="27" t="str">
        <x:v>Level sensor required</x:v>
      </x:c>
    </x:row>
    <x:row r="30">
      <x:c r="A30" s="27" t="str">
        <x:v>ROMR-BOM-029</x:v>
      </x:c>
      <x:c r="B30" s="27" t="str">
        <x:v>Automation</x:v>
      </x:c>
      <x:c r="C30" s="27" t="str">
        <x:v>PLC</x:v>
      </x:c>
      <x:c r="D30" s="27" t="str">
        <x:v>Main industrial PLC</x:v>
      </x:c>
      <x:c r="E30" s="27" t="str">
        <x:v>Industrial PLC platform</x:v>
      </x:c>
      <x:c r="F30" s="27" t="str">
        <x:v>Controls process, I/O, alarms and PID loops</x:v>
      </x:c>
      <x:c r="G30" s="27" t="n">
        <x:v>1</x:v>
      </x:c>
      <x:c r="H30" s="27" t="str">
        <x:v>unit</x:v>
      </x:c>
      <x:c r="I30" s="27" t="str">
        <x:v>Critical</x:v>
      </x:c>
      <x:c r="J30" s="27" t="str">
        <x:v>Concept</x:v>
      </x:c>
      <x:c r="K30" s="27" t="str">
        <x:v>07-plc-control-system.md</x:v>
      </x:c>
      <x:c r="L30" s="27" t="str">
        <x:v>PLC platform selected by integrator</x:v>
      </x:c>
    </x:row>
    <x:row r="31">
      <x:c r="A31" s="27" t="str">
        <x:v>ROMR-BOM-030</x:v>
      </x:c>
      <x:c r="B31" s="27" t="str">
        <x:v>Automation</x:v>
      </x:c>
      <x:c r="C31" s="27" t="str">
        <x:v>Safety</x:v>
      </x:c>
      <x:c r="D31" s="27" t="str">
        <x:v>Safety PLC / safety controller</x:v>
      </x:c>
      <x:c r="E31" s="27" t="str">
        <x:v>TwinSAFE or equivalent class</x:v>
      </x:c>
      <x:c r="F31" s="27" t="str">
        <x:v>Independent safety chain and safe shutdown</x:v>
      </x:c>
      <x:c r="G31" s="27" t="n">
        <x:v>1</x:v>
      </x:c>
      <x:c r="H31" s="27" t="str">
        <x:v>unit</x:v>
      </x:c>
      <x:c r="I31" s="27" t="str">
        <x:v>Mandatory</x:v>
      </x:c>
      <x:c r="J31" s="27" t="str">
        <x:v>Concept</x:v>
      </x:c>
      <x:c r="K31" s="27" t="str">
        <x:v>07-plc-control-system.md</x:v>
      </x:c>
      <x:c r="L31" s="27" t="str">
        <x:v>Do not rely on Python for safety</x:v>
      </x:c>
    </x:row>
    <x:row r="32">
      <x:c r="A32" s="27" t="str">
        <x:v>ROMR-BOM-031</x:v>
      </x:c>
      <x:c r="B32" s="27" t="str">
        <x:v>Automation</x:v>
      </x:c>
      <x:c r="C32" s="27" t="str">
        <x:v>Robot Controller</x:v>
      </x:c>
      <x:c r="D32" s="27" t="str">
        <x:v>Robot manufacturer controller</x:v>
      </x:c>
      <x:c r="E32" s="27" t="str">
        <x:v>KUKA/ABB/FANUC/Yaskawa class</x:v>
      </x:c>
      <x:c r="F32" s="27" t="str">
        <x:v>Controls 6-axis robot and safety zones</x:v>
      </x:c>
      <x:c r="G32" s="27" t="n">
        <x:v>1</x:v>
      </x:c>
      <x:c r="H32" s="27" t="str">
        <x:v>unit</x:v>
      </x:c>
      <x:c r="I32" s="27" t="str">
        <x:v>Critical</x:v>
      </x:c>
      <x:c r="J32" s="27" t="str">
        <x:v>Reference</x:v>
      </x:c>
      <x:c r="K32" s="27" t="str">
        <x:v>05-robot-arm-xy-rail.md</x:v>
      </x:c>
      <x:c r="L32" s="27" t="str">
        <x:v>Must support PLC communication</x:v>
      </x:c>
    </x:row>
    <x:row r="33">
      <x:c r="A33" s="27" t="str">
        <x:v>ROMR-BOM-032</x:v>
      </x:c>
      <x:c r="B33" s="27" t="str">
        <x:v>Automation</x:v>
      </x:c>
      <x:c r="C33" s="27" t="str">
        <x:v>Drives</x:v>
      </x:c>
      <x:c r="D33" s="27" t="str">
        <x:v>Servo drives / motor controllers</x:v>
      </x:c>
      <x:c r="E33" s="27" t="str">
        <x:v>For pump, dosing, rail axes</x:v>
      </x:c>
      <x:c r="F33" s="27" t="str">
        <x:v>Controls motion and feed equipment</x:v>
      </x:c>
      <x:c r="G33" s="27" t="n">
        <x:v>1</x:v>
      </x:c>
      <x:c r="H33" s="27" t="str">
        <x:v>set</x:v>
      </x:c>
      <x:c r="I33" s="27" t="str">
        <x:v>Critical</x:v>
      </x:c>
      <x:c r="J33" s="27" t="str">
        <x:v>Concept</x:v>
      </x:c>
      <x:c r="K33" s="27" t="str">
        <x:v>07-plc-control-system.md</x:v>
      </x:c>
      <x:c r="L33" s="27" t="str">
        <x:v>Synchronized with PLC</x:v>
      </x:c>
    </x:row>
    <x:row r="34">
      <x:c r="A34" s="27" t="str">
        <x:v>ROMR-BOM-033</x:v>
      </x:c>
      <x:c r="B34" s="27" t="str">
        <x:v>AI / Compute</x:v>
      </x:c>
      <x:c r="C34" s="27" t="str">
        <x:v>Industrial Computer</x:v>
      </x:c>
      <x:c r="D34" s="27" t="str">
        <x:v>CPU/GPU industrial PC</x:v>
      </x:c>
      <x:c r="E34" s="27" t="str">
        <x:v>RMDE compute platform</x:v>
      </x:c>
      <x:c r="F34" s="27" t="str">
        <x:v>Runs RMDE, vision, telemetry and standards engine</x:v>
      </x:c>
      <x:c r="G34" s="27" t="n">
        <x:v>1</x:v>
      </x:c>
      <x:c r="H34" s="27" t="str">
        <x:v>unit</x:v>
      </x:c>
      <x:c r="I34" s="27" t="str">
        <x:v>Critical</x:v>
      </x:c>
      <x:c r="J34" s="27" t="str">
        <x:v>Concept</x:v>
      </x:c>
      <x:c r="K34" s="27" t="str">
        <x:v>08-rmde-software-architecture.md</x:v>
      </x:c>
      <x:c r="L34" s="27" t="str">
        <x:v>Ruggedized enclosure</x:v>
      </x:c>
    </x:row>
    <x:row r="35">
      <x:c r="A35" s="27" t="str">
        <x:v>ROMR-BOM-034</x:v>
      </x:c>
      <x:c r="B35" s="27" t="str">
        <x:v>HMI / HUD</x:v>
      </x:c>
      <x:c r="C35" s="27" t="str">
        <x:v>Operator HMI</x:v>
      </x:c>
      <x:c r="D35" s="27" t="str">
        <x:v>Industrial HMI panel</x:v>
      </x:c>
      <x:c r="E35" s="27" t="str">
        <x:v>Operator dashboard and system alarms</x:v>
      </x:c>
      <x:c r="F35" s="27" t="n">
        <x:v>1</x:v>
      </x:c>
      <x:c r="G35" s="27" t="str">
        <x:v>unit</x:v>
      </x:c>
      <x:c r="H35" s="27" t="str">
        <x:v>Critical</x:v>
      </x:c>
      <x:c r="I35" s="27" t="str">
        <x:v>Concept</x:v>
      </x:c>
      <x:c r="J35" s="27" t="str">
        <x:v>09-hud-driver-guidance.md</x:v>
      </x:c>
      <x:c r="K35" s="27" t="str">
        <x:v>Integrate PLC and RMDE status</x:v>
      </x:c>
      <x:c r="L35" s="27"/>
    </x:row>
    <x:row r="36">
      <x:c r="A36" s="27" t="str">
        <x:v>ROMR-BOM-035</x:v>
      </x:c>
      <x:c r="B36" s="27" t="str">
        <x:v>HMI / HUD</x:v>
      </x:c>
      <x:c r="C36" s="27" t="str">
        <x:v>Driver HUD</x:v>
      </x:c>
      <x:c r="D36" s="27" t="str">
        <x:v>Ghost-line display / driver guidance unit</x:v>
      </x:c>
      <x:c r="E36" s="27" t="str">
        <x:v>Shows path, speed, deviation, alarms</x:v>
      </x:c>
      <x:c r="F36" s="27" t="n">
        <x:v>1</x:v>
      </x:c>
      <x:c r="G36" s="27" t="str">
        <x:v>unit</x:v>
      </x:c>
      <x:c r="H36" s="27" t="str">
        <x:v>Critical Demo</x:v>
      </x:c>
      <x:c r="I36" s="27" t="str">
        <x:v>Concept</x:v>
      </x:c>
      <x:c r="J36" s="27" t="str">
        <x:v>09-hud-driver-guidance.md</x:v>
      </x:c>
      <x:c r="K36" s="27" t="str">
        <x:v>Driver-assist layer</x:v>
      </x:c>
      <x:c r="L36" s="27"/>
    </x:row>
    <x:row r="37">
      <x:c r="A37" s="27" t="str">
        <x:v>ROMR-BOM-036</x:v>
      </x:c>
      <x:c r="B37" s="27" t="str">
        <x:v>Sensors</x:v>
      </x:c>
      <x:c r="C37" s="27" t="str">
        <x:v>Road Perception</x:v>
      </x:c>
      <x:c r="D37" s="27" t="str">
        <x:v>Front LiDAR</x:v>
      </x:c>
      <x:c r="E37" s="27" t="str">
        <x:v>Road edge and geometry sensing</x:v>
      </x:c>
      <x:c r="F37" s="27" t="str">
        <x:v>Inputs to pre-survey and RMDE</x:v>
      </x:c>
      <x:c r="G37" s="27" t="n">
        <x:v>1</x:v>
      </x:c>
      <x:c r="H37" s="27" t="str">
        <x:v>unit</x:v>
      </x:c>
      <x:c r="I37" s="27" t="str">
        <x:v>Critical</x:v>
      </x:c>
      <x:c r="J37" s="27" t="str">
        <x:v>Concept</x:v>
      </x:c>
      <x:c r="K37" s="27" t="str">
        <x:v>08-rmde-software-architecture.md</x:v>
      </x:c>
      <x:c r="L37" s="27" t="str">
        <x:v>Outdoor rated</x:v>
      </x:c>
    </x:row>
    <x:row r="38">
      <x:c r="A38" s="27" t="str">
        <x:v>ROMR-BOM-037</x:v>
      </x:c>
      <x:c r="B38" s="27" t="str">
        <x:v>Sensors</x:v>
      </x:c>
      <x:c r="C38" s="27" t="str">
        <x:v>Road Perception</x:v>
      </x:c>
      <x:c r="D38" s="27" t="str">
        <x:v>Side LiDAR / distance sensors</x:v>
      </x:c>
      <x:c r="E38" s="27" t="str">
        <x:v>Road edge and lateral distance</x:v>
      </x:c>
      <x:c r="F38" s="27" t="str">
        <x:v>Y-position and curb/edge references</x:v>
      </x:c>
      <x:c r="G38" s="27" t="n">
        <x:v>2</x:v>
      </x:c>
      <x:c r="H38" s="27" t="str">
        <x:v>unit</x:v>
      </x:c>
      <x:c r="I38" s="27" t="str">
        <x:v>Critical</x:v>
      </x:c>
      <x:c r="J38" s="27" t="str">
        <x:v>Concept</x:v>
      </x:c>
      <x:c r="K38" s="27" t="str">
        <x:v>08-rmde-software-architecture.md</x:v>
      </x:c>
      <x:c r="L38" s="27" t="str">
        <x:v>Left/right coverage</x:v>
      </x:c>
    </x:row>
    <x:row r="39">
      <x:c r="A39" s="27" t="str">
        <x:v>ROMR-BOM-038</x:v>
      </x:c>
      <x:c r="B39" s="27" t="str">
        <x:v>Sensors</x:v>
      </x:c>
      <x:c r="C39" s="27" t="str">
        <x:v>Vision</x:v>
      </x:c>
      <x:c r="D39" s="27" t="str">
        <x:v>Front road cameras</x:v>
      </x:c>
      <x:c r="E39" s="27" t="str">
        <x:v>Existing line and road surface detection</x:v>
      </x:c>
      <x:c r="F39" s="27" t="str">
        <x:v>Vision input for RMDE</x:v>
      </x:c>
      <x:c r="G39" s="27" t="n">
        <x:v>2</x:v>
      </x:c>
      <x:c r="H39" s="27" t="str">
        <x:v>unit</x:v>
      </x:c>
      <x:c r="I39" s="27" t="str">
        <x:v>Critical</x:v>
      </x:c>
      <x:c r="J39" s="27" t="str">
        <x:v>Concept</x:v>
      </x:c>
      <x:c r="K39" s="27" t="str">
        <x:v>10-quality-control-system.md</x:v>
      </x:c>
      <x:c r="L39" s="27" t="str">
        <x:v>Lighting required</x:v>
      </x:c>
    </x:row>
    <x:row r="40">
      <x:c r="A40" s="27" t="str">
        <x:v>ROMR-BOM-039</x:v>
      </x:c>
      <x:c r="B40" s="27" t="str">
        <x:v>Sensors</x:v>
      </x:c>
      <x:c r="C40" s="27" t="str">
        <x:v>Vision</x:v>
      </x:c>
      <x:c r="D40" s="27" t="str">
        <x:v>Rear quality-control camera</x:v>
      </x:c>
      <x:c r="E40" s="27" t="str">
        <x:v>Post-application verification</x:v>
      </x:c>
      <x:c r="F40" s="27" t="str">
        <x:v>Line width, alignment and continuity measurement</x:v>
      </x:c>
      <x:c r="G40" s="27" t="n">
        <x:v>1</x:v>
      </x:c>
      <x:c r="H40" s="27" t="str">
        <x:v>unit</x:v>
      </x:c>
      <x:c r="I40" s="27" t="str">
        <x:v>Critical</x:v>
      </x:c>
      <x:c r="J40" s="27" t="str">
        <x:v>Concept</x:v>
      </x:c>
      <x:c r="K40" s="27" t="str">
        <x:v>10-quality-control-system.md</x:v>
      </x:c>
      <x:c r="L40" s="27" t="str">
        <x:v>Calibrated field of view</x:v>
      </x:c>
    </x:row>
    <x:row r="41">
      <x:c r="A41" s="27" t="str">
        <x:v>ROMR-BOM-040</x:v>
      </x:c>
      <x:c r="B41" s="27" t="str">
        <x:v>Sensors</x:v>
      </x:c>
      <x:c r="C41" s="27" t="str">
        <x:v>Positioning</x:v>
      </x:c>
      <x:c r="D41" s="27" t="str">
        <x:v>RTK-GNSS module</x:v>
      </x:c>
      <x:c r="E41" s="27" t="str">
        <x:v>Centimeter-grade positioning</x:v>
      </x:c>
      <x:c r="F41" s="27" t="str">
        <x:v>Digital road model matching and geo-referenced reports</x:v>
      </x:c>
      <x:c r="G41" s="27" t="n">
        <x:v>1</x:v>
      </x:c>
      <x:c r="H41" s="27" t="str">
        <x:v>unit</x:v>
      </x:c>
      <x:c r="I41" s="27" t="str">
        <x:v>Critical</x:v>
      </x:c>
      <x:c r="J41" s="27" t="str">
        <x:v>Concept</x:v>
      </x:c>
      <x:c r="K41" s="27" t="str">
        <x:v>08-rmde-software-architecture.md</x:v>
      </x:c>
      <x:c r="L41" s="27" t="str">
        <x:v>Final RTK provider TBD</x:v>
      </x:c>
    </x:row>
    <x:row r="42">
      <x:c r="A42" s="27" t="str">
        <x:v>ROMR-BOM-041</x:v>
      </x:c>
      <x:c r="B42" s="27" t="str">
        <x:v>Sensors</x:v>
      </x:c>
      <x:c r="C42" s="27" t="str">
        <x:v>Motion</x:v>
      </x:c>
      <x:c r="D42" s="27" t="str">
        <x:v>IMU</x:v>
      </x:c>
      <x:c r="E42" s="27" t="str">
        <x:v>Vehicle attitude and vibration</x:v>
      </x:c>
      <x:c r="F42" s="27" t="str">
        <x:v>Compensates slope, motion and platform dynamics</x:v>
      </x:c>
      <x:c r="G42" s="27" t="n">
        <x:v>1</x:v>
      </x:c>
      <x:c r="H42" s="27" t="str">
        <x:v>unit</x:v>
      </x:c>
      <x:c r="I42" s="27" t="str">
        <x:v>Critical</x:v>
      </x:c>
      <x:c r="J42" s="27" t="str">
        <x:v>Concept</x:v>
      </x:c>
      <x:c r="K42" s="27" t="str">
        <x:v>09-hud-driver-guidance.md</x:v>
      </x:c>
      <x:c r="L42" s="27" t="str">
        <x:v>Synchronize with GNSS</x:v>
      </x:c>
    </x:row>
    <x:row r="43">
      <x:c r="A43" s="27" t="str">
        <x:v>ROMR-BOM-042</x:v>
      </x:c>
      <x:c r="B43" s="27" t="str">
        <x:v>Sensors</x:v>
      </x:c>
      <x:c r="C43" s="27" t="str">
        <x:v>Thermal</x:v>
      </x:c>
      <x:c r="D43" s="27" t="str">
        <x:v>Temperature sensors</x:v>
      </x:c>
      <x:c r="E43" s="27" t="str">
        <x:v>Multi-point</x:v>
      </x:c>
      <x:c r="F43" s="27" t="str">
        <x:v>Tank, line, zones, gun body and inlet temperatures</x:v>
      </x:c>
      <x:c r="G43" s="27" t="n">
        <x:v>1</x:v>
      </x:c>
      <x:c r="H43" s="27" t="str">
        <x:v>set</x:v>
      </x:c>
      <x:c r="I43" s="27" t="str">
        <x:v>Critical</x:v>
      </x:c>
      <x:c r="J43" s="27" t="str">
        <x:v>Concept</x:v>
      </x:c>
      <x:c r="K43" s="27" t="str">
        <x:v>03-induction-heating-system.md</x:v>
      </x:c>
      <x:c r="L43" s="27" t="str">
        <x:v>High-temperature compatible</x:v>
      </x:c>
    </x:row>
    <x:row r="44">
      <x:c r="A44" s="27" t="str">
        <x:v>ROMR-BOM-043</x:v>
      </x:c>
      <x:c r="B44" s="27" t="str">
        <x:v>Sensors</x:v>
      </x:c>
      <x:c r="C44" s="27" t="str">
        <x:v>Pressure / Flow</x:v>
      </x:c>
      <x:c r="D44" s="27" t="str">
        <x:v>Paint pressure and flow sensors</x:v>
      </x:c>
      <x:c r="E44" s="27" t="str">
        <x:v>High-temp compatible</x:v>
      </x:c>
      <x:c r="F44" s="27" t="str">
        <x:v>Closed-loop paint transfer and clog detection</x:v>
      </x:c>
      <x:c r="G44" s="27" t="n">
        <x:v>1</x:v>
      </x:c>
      <x:c r="H44" s="27" t="str">
        <x:v>set</x:v>
      </x:c>
      <x:c r="I44" s="27" t="str">
        <x:v>Critical</x:v>
      </x:c>
      <x:c r="J44" s="27" t="str">
        <x:v>Concept</x:v>
      </x:c>
      <x:c r="K44" s="27" t="str">
        <x:v>07-plc-control-system.md</x:v>
      </x:c>
      <x:c r="L44" s="27" t="str">
        <x:v>Before gun and line sections</x:v>
      </x:c>
    </x:row>
    <x:row r="45">
      <x:c r="A45" s="27" t="str">
        <x:v>ROMR-BOM-044</x:v>
      </x:c>
      <x:c r="B45" s="27" t="str">
        <x:v>Sensors</x:v>
      </x:c>
      <x:c r="C45" s="27" t="str">
        <x:v>Air / Vacuum</x:v>
      </x:c>
      <x:c r="D45" s="27" t="str">
        <x:v>Air pressure and vacuum sensors</x:v>
      </x:c>
      <x:c r="E45" s="27" t="str">
        <x:v>6 bar / suction feedback</x:v>
      </x:c>
      <x:c r="F45" s="27" t="str">
        <x:v>Air stabilization and dust extraction monitoring</x:v>
      </x:c>
      <x:c r="G45" s="27" t="n">
        <x:v>1</x:v>
      </x:c>
      <x:c r="H45" s="27" t="str">
        <x:v>set</x:v>
      </x:c>
      <x:c r="I45" s="27" t="str">
        <x:v>Critical</x:v>
      </x:c>
      <x:c r="J45" s="27" t="str">
        <x:v>Concept</x:v>
      </x:c>
      <x:c r="K45" s="27" t="str">
        <x:v>07-plc-control-system.md</x:v>
      </x:c>
      <x:c r="L45" s="27" t="str">
        <x:v>Triggers quality and process alarms</x:v>
      </x:c>
    </x:row>
    <x:row r="46">
      <x:c r="A46" s="27" t="str">
        <x:v>ROMR-BOM-045</x:v>
      </x:c>
      <x:c r="B46" s="27" t="str">
        <x:v>Safety</x:v>
      </x:c>
      <x:c r="C46" s="27" t="str">
        <x:v>Emergency</x:v>
      </x:c>
      <x:c r="D46" s="27" t="str">
        <x:v>Emergency stop system</x:v>
      </x:c>
      <x:c r="E46" s="27" t="str">
        <x:v>Hardwired + PLC safety</x:v>
      </x:c>
      <x:c r="F46" s="27" t="str">
        <x:v>Stops hazardous motion/processes</x:v>
      </x:c>
      <x:c r="G46" s="27" t="n">
        <x:v>1</x:v>
      </x:c>
      <x:c r="H46" s="27" t="str">
        <x:v>set</x:v>
      </x:c>
      <x:c r="I46" s="27" t="str">
        <x:v>Mandatory</x:v>
      </x:c>
      <x:c r="J46" s="27" t="str">
        <x:v>Concept</x:v>
      </x:c>
      <x:c r="K46" s="27" t="str">
        <x:v>07-plc-control-system.md</x:v>
      </x:c>
      <x:c r="L46" s="27" t="str">
        <x:v>Multiple E-stop points</x:v>
      </x:c>
    </x:row>
    <x:row r="47">
      <x:c r="A47" s="27" t="str">
        <x:v>ROMR-BOM-046</x:v>
      </x:c>
      <x:c r="B47" s="27" t="str">
        <x:v>Safety</x:v>
      </x:c>
      <x:c r="C47" s="27" t="str">
        <x:v>Fire</x:v>
      </x:c>
      <x:c r="D47" s="27" t="str">
        <x:v>Fire detection and suppression</x:v>
      </x:c>
      <x:c r="E47" s="27" t="str">
        <x:v>FM200/aerosol/waterless option</x:v>
      </x:c>
      <x:c r="F47" s="27" t="str">
        <x:v>Protects generator, electrical and hot zones</x:v>
      </x:c>
      <x:c r="G47" s="27" t="n">
        <x:v>1</x:v>
      </x:c>
      <x:c r="H47" s="27" t="str">
        <x:v>set</x:v>
      </x:c>
      <x:c r="I47" s="27" t="str">
        <x:v>Mandatory</x:v>
      </x:c>
      <x:c r="J47" s="27" t="str">
        <x:v>Concept</x:v>
      </x:c>
      <x:c r="K47" s="27" t="str">
        <x:v>06-power-electrical-architecture.md</x:v>
      </x:c>
      <x:c r="L47" s="27" t="str">
        <x:v>Final method per authority requirements</x:v>
      </x:c>
    </x:row>
    <x:row r="48">
      <x:c r="A48" s="27" t="str">
        <x:v>ROMR-BOM-047</x:v>
      </x:c>
      <x:c r="B48" s="27" t="str">
        <x:v>Safety</x:v>
      </x:c>
      <x:c r="C48" s="27" t="str">
        <x:v>Thermal Guarding</x:v>
      </x:c>
      <x:c r="D48" s="27" t="str">
        <x:v>Thermal shields and hot surface guards</x:v>
      </x:c>
      <x:c r="E48" s="27" t="str">
        <x:v>Hot-zone protection</x:v>
      </x:c>
      <x:c r="F48" s="27" t="str">
        <x:v>Protects operator and surrounding components</x:v>
      </x:c>
      <x:c r="G48" s="27" t="n">
        <x:v>1</x:v>
      </x:c>
      <x:c r="H48" s="27" t="str">
        <x:v>set</x:v>
      </x:c>
      <x:c r="I48" s="27" t="str">
        <x:v>Mandatory</x:v>
      </x:c>
      <x:c r="J48" s="27" t="str">
        <x:v>Concept</x:v>
      </x:c>
      <x:c r="K48" s="27" t="str">
        <x:v>06-power-electrical-architecture.md</x:v>
      </x:c>
      <x:c r="L48" s="27" t="str">
        <x:v>Service access maintained</x:v>
      </x:c>
    </x:row>
    <x:row r="49">
      <x:c r="A49" s="27" t="str">
        <x:v>ROMR-BOM-048</x:v>
      </x:c>
      <x:c r="B49" s="27" t="str">
        <x:v>Cooling / Filtration</x:v>
      </x:c>
      <x:c r="C49" s="27" t="str">
        <x:v>Electronics Cooling</x:v>
      </x:c>
      <x:c r="D49" s="27" t="str">
        <x:v>Panel ventilation / AC</x:v>
      </x:c>
      <x:c r="E49" s="27" t="str">
        <x:v>Industrial enclosure cooling</x:v>
      </x:c>
      <x:c r="F49" s="27" t="str">
        <x:v>Protects PLC, drives, AI computer and inverters</x:v>
      </x:c>
      <x:c r="G49" s="27" t="n">
        <x:v>1</x:v>
      </x:c>
      <x:c r="H49" s="27" t="str">
        <x:v>set</x:v>
      </x:c>
      <x:c r="I49" s="27" t="str">
        <x:v>Critical</x:v>
      </x:c>
      <x:c r="J49" s="27" t="str">
        <x:v>Concept</x:v>
      </x:c>
      <x:c r="K49" s="27" t="str">
        <x:v>06-power-electrical-architecture.md</x:v>
      </x:c>
      <x:c r="L49" s="27" t="str">
        <x:v>Filtered airflow</x:v>
      </x:c>
    </x:row>
    <x:row r="50">
      <x:c r="A50" s="27" t="str">
        <x:v>ROMR-BOM-049</x:v>
      </x:c>
      <x:c r="B50" s="27" t="str">
        <x:v>Installation</x:v>
      </x:c>
      <x:c r="C50" s="27" t="str">
        <x:v>Cable/Hose Carrier</x:v>
      </x:c>
      <x:c r="D50" s="27" t="str">
        <x:v>Cable and hose carrier chain</x:v>
      </x:c>
      <x:c r="E50" s="27" t="str">
        <x:v>Robot + rail routing</x:v>
      </x:c>
      <x:c r="F50" s="27" t="str">
        <x:v>Routes paint, air, power, signal and suction safely</x:v>
      </x:c>
      <x:c r="G50" s="27" t="n">
        <x:v>1</x:v>
      </x:c>
      <x:c r="H50" s="27" t="str">
        <x:v>set</x:v>
      </x:c>
      <x:c r="I50" s="27" t="str">
        <x:v>Critical</x:v>
      </x:c>
      <x:c r="J50" s="27" t="str">
        <x:v>Concept</x:v>
      </x:c>
      <x:c r="K50" s="27" t="str">
        <x:v>05-robot-arm-xy-rail.md</x:v>
      </x:c>
      <x:c r="L50" s="27" t="str">
        <x:v>Robot dynamic load impact</x:v>
      </x:c>
    </x:row>
    <x:row r="51">
      <x:c r="A51" s="27" t="str">
        <x:v>ROMR-BOM-050</x:v>
      </x:c>
      <x:c r="B51" s="27" t="str">
        <x:v>Service</x:v>
      </x:c>
      <x:c r="C51" s="27" t="str">
        <x:v>Maintenance Access</x:v>
      </x:c>
      <x:c r="D51" s="27" t="str">
        <x:v>Openable service covers and platforms</x:v>
      </x:c>
      <x:c r="E51" s="27" t="str">
        <x:v>Service design</x:v>
      </x:c>
      <x:c r="F51" s="27" t="str">
        <x:v>Enables safe access to generators, pump, tank, panels</x:v>
      </x:c>
      <x:c r="G51" s="27" t="n">
        <x:v>1</x:v>
      </x:c>
      <x:c r="H51" s="27" t="str">
        <x:v>set</x:v>
      </x:c>
      <x:c r="I51" s="27" t="str">
        <x:v>Recommended</x:v>
      </x:c>
      <x:c r="J51" s="27" t="str">
        <x:v>Concept</x:v>
      </x:c>
      <x:c r="K51" s="27" t="str">
        <x:v>12-prototype-bom.md</x:v>
      </x:c>
      <x:c r="L51" s="27" t="str">
        <x:v>Include lockout/tagout</x:v>
      </x:c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</x:row>
  </x:sheetData>
  <x:conditionalFormatting sqref="I2:I51">
    <x:cfRule type="expression" dxfId="0" priority="1">
      <x:formula>OR(ISNUMBER(SEARCH("Critical",I2)),I2="Mandatory")</x:formula>
    </x:cfRule>
    <x:cfRule type="expression" dxfId="1" priority="2">
      <x:formula>ISNUMBER(SEARCH("Prototype",I2))</x:formula>
    </x:cfRule>
  </x:conditionalFormatting>
  <x:dataValidations count="2">
    <x:dataValidation type="list" sqref="I2:I51">
      <x:formula1>"Critical,Critical / Validate,Critical Innovation,Mandatory,Prototype Required,Recommended"</x:formula1>
    </x:dataValidation>
    <x:dataValidation type="list" sqref="J2:J51">
      <x:formula1>"Concept,Reference,Prototype,Validated,Supplier 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2107d8331c48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30" t="str">
        <x:v>ROMR Master BOM V1 — Dashboard</x:v>
      </x:c>
      <x:c r="B1" s="31"/>
      <x:c r="C1" s="31"/>
      <x:c r="D1" s="31"/>
      <x:c r="E1" s="27"/>
      <x:c r="F1" s="27"/>
      <x:c r="G1" s="27"/>
      <x:c r="H1" s="27"/>
      <x:c r="I1" s="27"/>
      <x:c r="J1" s="27"/>
      <x:c r="K1" s="27"/>
      <x:c r="L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>
      <x:c r="A3" s="32" t="str">
        <x:v>Metric</x:v>
      </x:c>
      <x:c r="B3" s="32" t="str">
        <x:v>Value</x:v>
      </x:c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>
      <x:c r="A4" s="27" t="str">
        <x:v>Total BOM Lines</x:v>
      </x:c>
      <x:c r="B4" s="27" t="n">
        <x:f>COUNTA('Master BOM'!A2:A51)</x:f>
        <x:v>50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</x:row>
    <x:row r="5">
      <x:c r="A5" s="27" t="str">
        <x:v>Critical / Mandatory Lines</x:v>
      </x:c>
      <x:c r="B5" s="27" t="n">
        <x:f>COUNTIF('Master BOM'!I2:I51,"*Critical*")+COUNTIF('Master BOM'!I2:I51,"Mandatory")</x:f>
        <x:v>4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</x:row>
    <x:row r="6">
      <x:c r="A6" s="27" t="str">
        <x:v>Prototype Required Lines</x:v>
      </x:c>
      <x:c r="B6" s="27" t="n">
        <x:f>COUNTIF('Master BOM'!I2:I51,"*Prototype*")</x:f>
        <x:v>0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</x:row>
    <x:row r="7">
      <x:c r="A7" s="27" t="str">
        <x:v>Reference Status Lines</x:v>
      </x:c>
      <x:c r="B7" s="27" t="n">
        <x:f>COUNTIF('Master BOM'!J2:J51,"Reference")</x:f>
        <x:v>3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</x:row>
    <x:row r="8">
      <x:c r="A8" s="27" t="str">
        <x:v>Concept Status Lines</x:v>
      </x:c>
      <x:c r="B8" s="27" t="n">
        <x:f>COUNTIF('Master BOM'!J2:J51,"Concept")</x:f>
        <x:v>45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</x:row>
    <x:row r="10">
      <x:c r="A10" s="32" t="str">
        <x:v>Category</x:v>
      </x:c>
      <x:c r="B10" s="32" t="str">
        <x:v>Line Count</x:v>
      </x:c>
      <x:c r="C10" s="32" t="str">
        <x:v>Critical/Mandatory</x:v>
      </x:c>
      <x:c r="D10" s="32" t="str">
        <x:v>Prototype Required</x:v>
      </x:c>
      <x:c r="E10" s="27"/>
      <x:c r="F10" s="27"/>
      <x:c r="G10" s="27"/>
      <x:c r="H10" s="27"/>
      <x:c r="I10" s="27"/>
      <x:c r="J10" s="27"/>
      <x:c r="K10" s="27"/>
      <x:c r="L10" s="27"/>
    </x:row>
    <x:row r="11">
      <x:c r="A11" s="27" t="str">
        <x:v>AI / Compute</x:v>
      </x:c>
      <x:c r="B11" s="27" t="n">
        <x:f>COUNTIF('Master BOM'!B:B,A11)</x:f>
        <x:v>1</x:v>
      </x:c>
      <x:c r="C11" s="27" t="n">
        <x:f>COUNTIFS('Master BOM'!B:B,A11,'Master BOM'!I:I,"*Critical*")+COUNTIFS('Master BOM'!B:B,A11,'Master BOM'!I:I,"Mandatory")</x:f>
        <x:v>0</x:v>
      </x:c>
      <x:c r="D11" s="27" t="n">
        <x:f>COUNTIFS('Master BOM'!B:B,A11,'Master BOM'!I:I,"*Prototype*")</x:f>
        <x:v>0</x:v>
      </x:c>
      <x:c r="E11" s="27"/>
      <x:c r="F11" s="27"/>
      <x:c r="G11" s="27"/>
      <x:c r="H11" s="27"/>
      <x:c r="I11" s="27"/>
      <x:c r="J11" s="27"/>
      <x:c r="K11" s="27"/>
      <x:c r="L11" s="27"/>
    </x:row>
    <x:row r="12">
      <x:c r="A12" s="27" t="str">
        <x:v>Application System</x:v>
      </x:c>
      <x:c r="B12" s="27" t="n">
        <x:f>COUNTIF('Master BOM'!B:B,A12)</x:f>
        <x:v>5</x:v>
      </x:c>
      <x:c r="C12" s="27" t="n">
        <x:f>COUNTIFS('Master BOM'!B:B,A12,'Master BOM'!I:I,"*Critical*")+COUNTIFS('Master BOM'!B:B,A12,'Master BOM'!I:I,"Mandatory")</x:f>
        <x:v>0</x:v>
      </x:c>
      <x:c r="D12" s="27" t="n">
        <x:f>COUNTIFS('Master BOM'!B:B,A12,'Master BOM'!I:I,"*Prototype*")</x:f>
        <x:v>0</x:v>
      </x:c>
      <x:c r="E12" s="27"/>
      <x:c r="F12" s="27"/>
      <x:c r="G12" s="27"/>
      <x:c r="H12" s="27"/>
      <x:c r="I12" s="27"/>
      <x:c r="J12" s="27"/>
      <x:c r="K12" s="27"/>
      <x:c r="L12" s="27"/>
    </x:row>
    <x:row r="13">
      <x:c r="A13" s="27" t="str">
        <x:v>Automation</x:v>
      </x:c>
      <x:c r="B13" s="27" t="n">
        <x:f>COUNTIF('Master BOM'!B:B,A13)</x:f>
        <x:v>4</x:v>
      </x:c>
      <x:c r="C13" s="27" t="n">
        <x:f>COUNTIFS('Master BOM'!B:B,A13,'Master BOM'!I:I,"*Critical*")+COUNTIFS('Master BOM'!B:B,A13,'Master BOM'!I:I,"Mandatory")</x:f>
        <x:v>1</x:v>
      </x:c>
      <x:c r="D13" s="27" t="n">
        <x:f>COUNTIFS('Master BOM'!B:B,A13,'Master BOM'!I:I,"*Prototype*")</x:f>
        <x:v>0</x:v>
      </x:c>
      <x:c r="E13" s="27"/>
      <x:c r="F13" s="27"/>
      <x:c r="G13" s="27"/>
      <x:c r="H13" s="27"/>
      <x:c r="I13" s="27"/>
      <x:c r="J13" s="27"/>
      <x:c r="K13" s="27"/>
      <x:c r="L13" s="27"/>
    </x:row>
    <x:row r="14">
      <x:c r="A14" s="27" t="str">
        <x:v>Carrier Platform</x:v>
      </x:c>
      <x:c r="B14" s="27" t="n">
        <x:f>COUNTIF('Master BOM'!B:B,A14)</x:f>
        <x:v>2</x:v>
      </x:c>
      <x:c r="C14" s="27" t="n">
        <x:f>COUNTIFS('Master BOM'!B:B,A14,'Master BOM'!I:I,"*Critical*")+COUNTIFS('Master BOM'!B:B,A14,'Master BOM'!I:I,"Mandatory")</x:f>
        <x:v>0</x:v>
      </x:c>
      <x:c r="D14" s="27" t="n">
        <x:f>COUNTIFS('Master BOM'!B:B,A14,'Master BOM'!I:I,"*Prototype*")</x:f>
        <x:v>0</x:v>
      </x:c>
      <x:c r="E14" s="27"/>
      <x:c r="F14" s="27"/>
      <x:c r="G14" s="27"/>
      <x:c r="H14" s="27"/>
      <x:c r="I14" s="27"/>
      <x:c r="J14" s="27"/>
      <x:c r="K14" s="27"/>
      <x:c r="L14" s="27"/>
    </x:row>
    <x:row r="15">
      <x:c r="A15" s="27" t="str">
        <x:v>Cooling / Filtration</x:v>
      </x:c>
      <x:c r="B15" s="27" t="n">
        <x:f>COUNTIF('Master BOM'!B:B,A15)</x:f>
        <x:v>1</x:v>
      </x:c>
      <x:c r="C15" s="27" t="n">
        <x:f>COUNTIFS('Master BOM'!B:B,A15,'Master BOM'!I:I,"*Critical*")+COUNTIFS('Master BOM'!B:B,A15,'Master BOM'!I:I,"Mandatory")</x:f>
        <x:v>0</x:v>
      </x:c>
      <x:c r="D15" s="27" t="n">
        <x:f>COUNTIFS('Master BOM'!B:B,A15,'Master BOM'!I:I,"*Prototype*")</x:f>
        <x:v>0</x:v>
      </x:c>
      <x:c r="E15" s="27"/>
      <x:c r="F15" s="27"/>
      <x:c r="G15" s="27"/>
      <x:c r="H15" s="27"/>
      <x:c r="I15" s="27"/>
      <x:c r="J15" s="27"/>
      <x:c r="K15" s="27"/>
      <x:c r="L15" s="27"/>
    </x:row>
    <x:row r="16">
      <x:c r="A16" s="27" t="str">
        <x:v>Dust Extraction</x:v>
      </x:c>
      <x:c r="B16" s="27" t="n">
        <x:f>COUNTIF('Master BOM'!B:B,A16)</x:f>
        <x:v>4</x:v>
      </x:c>
      <x:c r="C16" s="27" t="n">
        <x:f>COUNTIFS('Master BOM'!B:B,A16,'Master BOM'!I:I,"*Critical*")+COUNTIFS('Master BOM'!B:B,A16,'Master BOM'!I:I,"Mandatory")</x:f>
        <x:v>0</x:v>
      </x:c>
      <x:c r="D16" s="27" t="n">
        <x:f>COUNTIFS('Master BOM'!B:B,A16,'Master BOM'!I:I,"*Prototype*")</x:f>
        <x:v>0</x:v>
      </x:c>
      <x:c r="E16" s="27"/>
      <x:c r="F16" s="27"/>
      <x:c r="G16" s="27"/>
      <x:c r="H16" s="27"/>
      <x:c r="I16" s="27"/>
      <x:c r="J16" s="27"/>
      <x:c r="K16" s="27"/>
      <x:c r="L16" s="27"/>
    </x:row>
    <x:row r="17">
      <x:c r="A17" s="27" t="str">
        <x:v>Electrical</x:v>
      </x:c>
      <x:c r="B17" s="27" t="n">
        <x:f>COUNTIF('Master BOM'!B:B,A17)</x:f>
        <x:v>3</x:v>
      </x:c>
      <x:c r="C17" s="27" t="n">
        <x:f>COUNTIFS('Master BOM'!B:B,A17,'Master BOM'!I:I,"*Critical*")+COUNTIFS('Master BOM'!B:B,A17,'Master BOM'!I:I,"Mandatory")</x:f>
        <x:v>0</x:v>
      </x:c>
      <x:c r="D17" s="27" t="n">
        <x:f>COUNTIFS('Master BOM'!B:B,A17,'Master BOM'!I:I,"*Prototype*")</x:f>
        <x:v>0</x:v>
      </x:c>
      <x:c r="E17" s="27"/>
      <x:c r="F17" s="27"/>
      <x:c r="G17" s="27"/>
      <x:c r="H17" s="27"/>
      <x:c r="I17" s="27"/>
      <x:c r="J17" s="27"/>
      <x:c r="K17" s="27"/>
      <x:c r="L17" s="27"/>
    </x:row>
    <x:row r="18">
      <x:c r="A18" s="27" t="str">
        <x:v>Glass Bead System</x:v>
      </x:c>
      <x:c r="B18" s="27" t="n">
        <x:f>COUNTIF('Master BOM'!B:B,A18)</x:f>
        <x:v>2</x:v>
      </x:c>
      <x:c r="C18" s="27" t="n">
        <x:f>COUNTIFS('Master BOM'!B:B,A18,'Master BOM'!I:I,"*Critical*")+COUNTIFS('Master BOM'!B:B,A18,'Master BOM'!I:I,"Mandatory")</x:f>
        <x:v>0</x:v>
      </x:c>
      <x:c r="D18" s="27" t="n">
        <x:f>COUNTIFS('Master BOM'!B:B,A18,'Master BOM'!I:I,"*Prototype*")</x:f>
        <x:v>0</x:v>
      </x:c>
      <x:c r="E18" s="27"/>
      <x:c r="F18" s="27"/>
      <x:c r="G18" s="27"/>
      <x:c r="H18" s="27"/>
      <x:c r="I18" s="27"/>
      <x:c r="J18" s="27"/>
      <x:c r="K18" s="27"/>
      <x:c r="L18" s="27"/>
    </x:row>
    <x:row r="19">
      <x:c r="A19" s="27" t="str">
        <x:v>HMI / HUD</x:v>
      </x:c>
      <x:c r="B19" s="27" t="n">
        <x:f>COUNTIF('Master BOM'!B:B,A19)</x:f>
        <x:v>2</x:v>
      </x:c>
      <x:c r="C19" s="27" t="n">
        <x:f>COUNTIFS('Master BOM'!B:B,A19,'Master BOM'!I:I,"*Critical*")+COUNTIFS('Master BOM'!B:B,A19,'Master BOM'!I:I,"Mandatory")</x:f>
        <x:v>0</x:v>
      </x:c>
      <x:c r="D19" s="27" t="n">
        <x:f>COUNTIFS('Master BOM'!B:B,A19,'Master BOM'!I:I,"*Prototype*")</x:f>
        <x:v>0</x:v>
      </x:c>
      <x:c r="E19" s="27"/>
      <x:c r="F19" s="27"/>
      <x:c r="G19" s="27"/>
      <x:c r="H19" s="27"/>
      <x:c r="I19" s="27"/>
      <x:c r="J19" s="27"/>
      <x:c r="K19" s="27"/>
      <x:c r="L19" s="27"/>
    </x:row>
    <x:row r="20">
      <x:c r="A20" s="27" t="str">
        <x:v>Induction Heating</x:v>
      </x:c>
      <x:c r="B20" s="27" t="n">
        <x:f>COUNTIF('Master BOM'!B:B,A20)</x:f>
        <x:v>4</x:v>
      </x:c>
      <x:c r="C20" s="27" t="n">
        <x:f>COUNTIFS('Master BOM'!B:B,A20,'Master BOM'!I:I,"*Critical*")+COUNTIFS('Master BOM'!B:B,A20,'Master BOM'!I:I,"Mandatory")</x:f>
        <x:v>0</x:v>
      </x:c>
      <x:c r="D20" s="27" t="n">
        <x:f>COUNTIFS('Master BOM'!B:B,A20,'Master BOM'!I:I,"*Prototype*")</x:f>
        <x:v>0</x:v>
      </x:c>
      <x:c r="E20" s="27"/>
      <x:c r="F20" s="27"/>
      <x:c r="G20" s="27"/>
      <x:c r="H20" s="27"/>
      <x:c r="I20" s="27"/>
      <x:c r="J20" s="27"/>
      <x:c r="K20" s="27"/>
      <x:c r="L20" s="27"/>
    </x:row>
    <x:row r="21">
      <x:c r="A21" s="27" t="str">
        <x:v>Installation</x:v>
      </x:c>
      <x:c r="B21" s="27" t="n">
        <x:f>COUNTIF('Master BOM'!B:B,A21)</x:f>
        <x:v>1</x:v>
      </x:c>
      <x:c r="C21" s="27" t="n">
        <x:f>COUNTIFS('Master BOM'!B:B,A21,'Master BOM'!I:I,"*Critical*")+COUNTIFS('Master BOM'!B:B,A21,'Master BOM'!I:I,"Mandatory")</x:f>
        <x:v>0</x:v>
      </x:c>
      <x:c r="D21" s="27" t="n">
        <x:f>COUNTIFS('Master BOM'!B:B,A21,'Master BOM'!I:I,"*Prototype*")</x:f>
        <x:v>0</x:v>
      </x:c>
      <x:c r="E21" s="27"/>
      <x:c r="F21" s="27"/>
      <x:c r="G21" s="27"/>
      <x:c r="H21" s="27"/>
      <x:c r="I21" s="27"/>
      <x:c r="J21" s="27"/>
      <x:c r="K21" s="27"/>
      <x:c r="L21" s="27"/>
    </x:row>
    <x:row r="22">
      <x:c r="A22" s="27" t="str">
        <x:v>Pellet Paint System</x:v>
      </x:c>
      <x:c r="B22" s="27" t="n">
        <x:f>COUNTIF('Master BOM'!B:B,A22)</x:f>
        <x:v>4</x:v>
      </x:c>
      <x:c r="C22" s="27" t="n">
        <x:f>COUNTIFS('Master BOM'!B:B,A22,'Master BOM'!I:I,"*Critical*")+COUNTIFS('Master BOM'!B:B,A22,'Master BOM'!I:I,"Mandatory")</x:f>
        <x:v>0</x:v>
      </x:c>
      <x:c r="D22" s="27" t="n">
        <x:f>COUNTIFS('Master BOM'!B:B,A22,'Master BOM'!I:I,"*Prototype*")</x:f>
        <x:v>0</x:v>
      </x:c>
      <x:c r="E22" s="27"/>
      <x:c r="F22" s="27"/>
      <x:c r="G22" s="27"/>
      <x:c r="H22" s="27"/>
      <x:c r="I22" s="27"/>
      <x:c r="J22" s="27"/>
      <x:c r="K22" s="27"/>
      <x:c r="L22" s="27"/>
    </x:row>
    <x:row r="23">
      <x:c r="A23" s="27" t="str">
        <x:v>Pneumatics</x:v>
      </x:c>
      <x:c r="B23" s="27" t="n">
        <x:f>COUNTIF('Master BOM'!B:B,A23)</x:f>
        <x:v>2</x:v>
      </x:c>
      <x:c r="C23" s="27" t="n">
        <x:f>COUNTIFS('Master BOM'!B:B,A23,'Master BOM'!I:I,"*Critical*")+COUNTIFS('Master BOM'!B:B,A23,'Master BOM'!I:I,"Mandatory")</x:f>
        <x:v>0</x:v>
      </x:c>
      <x:c r="D23" s="27" t="n">
        <x:f>COUNTIFS('Master BOM'!B:B,A23,'Master BOM'!I:I,"*Prototype*")</x:f>
        <x:v>0</x:v>
      </x:c>
      <x:c r="E23" s="27"/>
      <x:c r="F23" s="27"/>
      <x:c r="G23" s="27"/>
      <x:c r="H23" s="27"/>
      <x:c r="I23" s="27"/>
      <x:c r="J23" s="27"/>
      <x:c r="K23" s="27"/>
      <x:c r="L23" s="27"/>
    </x:row>
    <x:row r="24">
      <x:c r="A24" s="27" t="str">
        <x:v>Power Generation</x:v>
      </x:c>
      <x:c r="B24" s="27" t="n">
        <x:f>COUNTIF('Master BOM'!B:B,A24)</x:f>
        <x:v>2</x:v>
      </x:c>
      <x:c r="C24" s="27" t="n">
        <x:f>COUNTIFS('Master BOM'!B:B,A24,'Master BOM'!I:I,"*Critical*")+COUNTIFS('Master BOM'!B:B,A24,'Master BOM'!I:I,"Mandatory")</x:f>
        <x:v>0</x:v>
      </x:c>
      <x:c r="D24" s="27" t="n">
        <x:f>COUNTIFS('Master BOM'!B:B,A24,'Master BOM'!I:I,"*Prototype*")</x:f>
        <x:v>0</x:v>
      </x:c>
      <x:c r="E24" s="27"/>
      <x:c r="F24" s="27"/>
      <x:c r="G24" s="27"/>
      <x:c r="H24" s="27"/>
      <x:c r="I24" s="27"/>
      <x:c r="J24" s="27"/>
      <x:c r="K24" s="27"/>
      <x:c r="L24" s="27"/>
    </x:row>
    <x:row r="25">
      <x:c r="A25" s="27" t="str">
        <x:v>Safety</x:v>
      </x:c>
      <x:c r="B25" s="27" t="n">
        <x:f>COUNTIF('Master BOM'!B:B,A25)</x:f>
        <x:v>3</x:v>
      </x:c>
      <x:c r="C25" s="27" t="n">
        <x:f>COUNTIFS('Master BOM'!B:B,A25,'Master BOM'!I:I,"*Critical*")+COUNTIFS('Master BOM'!B:B,A25,'Master BOM'!I:I,"Mandatory")</x:f>
        <x:v>3</x:v>
      </x:c>
      <x:c r="D25" s="27" t="n">
        <x:f>COUNTIFS('Master BOM'!B:B,A25,'Master BOM'!I:I,"*Prototype*")</x:f>
        <x:v>0</x:v>
      </x:c>
      <x:c r="E25" s="27"/>
      <x:c r="F25" s="27"/>
      <x:c r="G25" s="27"/>
      <x:c r="H25" s="27"/>
      <x:c r="I25" s="27"/>
      <x:c r="J25" s="27"/>
      <x:c r="K25" s="27"/>
      <x:c r="L25" s="27"/>
    </x:row>
    <x:row r="26">
      <x:c r="A26" s="27" t="str">
        <x:v>Sensors</x:v>
      </x:c>
      <x:c r="B26" s="27" t="n">
        <x:f>COUNTIF('Master BOM'!B:B,A26)</x:f>
        <x:v>9</x:v>
      </x:c>
      <x:c r="C26" s="27" t="n">
        <x:f>COUNTIFS('Master BOM'!B:B,A26,'Master BOM'!I:I,"*Critical*")+COUNTIFS('Master BOM'!B:B,A26,'Master BOM'!I:I,"Mandatory")</x:f>
        <x:v>0</x:v>
      </x:c>
      <x:c r="D26" s="27" t="n">
        <x:f>COUNTIFS('Master BOM'!B:B,A26,'Master BOM'!I:I,"*Prototype*")</x:f>
        <x:v>0</x:v>
      </x:c>
      <x:c r="E26" s="27"/>
      <x:c r="F26" s="27"/>
      <x:c r="G26" s="27"/>
      <x:c r="H26" s="27"/>
      <x:c r="I26" s="27"/>
      <x:c r="J26" s="27"/>
      <x:c r="K26" s="27"/>
      <x:c r="L26" s="27"/>
    </x:row>
    <x:row r="27">
      <x:c r="A27" s="27" t="str">
        <x:v>Service</x:v>
      </x:c>
      <x:c r="B27" s="27" t="n">
        <x:f>COUNTIF('Master BOM'!B:B,A27)</x:f>
        <x:v>1</x:v>
      </x:c>
      <x:c r="C27" s="27" t="n">
        <x:f>COUNTIFS('Master BOM'!B:B,A27,'Master BOM'!I:I,"*Critical*")+COUNTIFS('Master BOM'!B:B,A27,'Master BOM'!I:I,"Mandatory")</x:f>
        <x:v>0</x:v>
      </x:c>
      <x:c r="D27" s="27" t="n">
        <x:f>COUNTIFS('Master BOM'!B:B,A27,'Master BOM'!I:I,"*Prototype*")</x:f>
        <x:v>0</x:v>
      </x:c>
      <x:c r="E27" s="27"/>
      <x:c r="F27" s="27"/>
      <x:c r="G27" s="27"/>
      <x:c r="H27" s="27"/>
      <x:c r="I27" s="27"/>
      <x:c r="J27" s="27"/>
      <x:c r="K27" s="27"/>
      <x:c r="L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f06e003f3d14ff7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0" hidden="0" customWidth="1"/>
  </x:cols>
  <x:sheetData>
    <x:row r="1">
      <x:c r="A1" s="30" t="str">
        <x:v>ROMR Master BOM V1</x:v>
      </x:c>
      <x:c r="B1" s="36"/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>
      <x:c r="A3" s="37" t="str">
        <x:v>Purpose</x:v>
      </x:c>
      <x:c r="B3" s="27" t="str">
        <x:v>Master equipment/component list for the ROMR Engineering Knowledge Platform prototype architecture.</x:v>
      </x:c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>
      <x:c r="A4" s="37" t="str">
        <x:v>Scope</x:v>
      </x:c>
      <x:c r="B4" s="27" t="str">
        <x:v>Carrier platform, power, pellet feed, induction heating, robot application, PLC, sensors, safety, quality, software-linked hardware.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</x:row>
    <x:row r="5">
      <x:c r="A5" s="37" t="str">
        <x:v>Status</x:v>
      </x:c>
      <x:c r="B5" s="27" t="str">
        <x:v>Engineering reference BOM. Final supplier selection, quantities, ratings and compliance must be verified during prototype engineering.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</x:row>
    <x:row r="6">
      <x:c r="A6" s="37" t="str">
        <x:v>GitHub Target</x:v>
      </x:c>
      <x:c r="B6" s="27" t="str">
        <x:v>docs/bom/ROMR_Master_BOM_V1.xlsx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</x:row>
    <x:row r="7">
      <x:c r="A7" s="37" t="str">
        <x:v>Related MkDocs Page</x:v>
      </x:c>
      <x:c r="B7" s="27" t="str">
        <x:v>docs/12-prototype-bom.md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</x:row>
    <x:row r="8">
      <x:c r="A8" s="37" t="str">
        <x:v>Version</x:v>
      </x:c>
      <x:c r="B8" s="27" t="str">
        <x:v>V1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</x:row>
  </x:sheetData>
  <x:mergeCells>
    <x:mergeCell ref="A1:F1"/>
  </x:mergeCells>
  <x:pageMargins left="0.7" right="0.7" top="0.75" bottom="0.75" header="0.3" footer="0.3"/>
</x:worksheet>
</file>