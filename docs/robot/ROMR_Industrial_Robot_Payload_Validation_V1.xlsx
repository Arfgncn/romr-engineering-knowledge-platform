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d72129c0f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load Validation" sheetId="1" r:id="R84bfb4952b1d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9bf6b0ff9416b" /><Relationship Type="http://schemas.openxmlformats.org/officeDocument/2006/relationships/theme" Target="/xl/theme/theme1.xml" Id="R54583a8febdf4cb8" /><Relationship Type="http://schemas.openxmlformats.org/officeDocument/2006/relationships/sharedStrings" Target="/xl/sharedStrings.xml" Id="R4af18c81008a447e" /><Relationship Type="http://schemas.openxmlformats.org/officeDocument/2006/relationships/worksheet" Target="/xl/worksheets/sheet1.xml" Id="R84bfb4952b1d417e" /></Relationships>
</file>

<file path=xl/tables/table1.xml><?xml version="1.0" encoding="utf-8"?>
<x:table xmlns:x="http://schemas.openxmlformats.org/spreadsheetml/2006/main" id="1" name="RobotPayloadTable" displayName="RobotPayloadTable" ref="A1:G12" headerRowCount="1">
  <x:tableColumns count="7">
    <x:tableColumn id="1" name="Load Category"/>
    <x:tableColumn id="2" name="Component"/>
    <x:tableColumn id="3" name="Estimated Mass kg"/>
    <x:tableColumn id="4" name="Max Mass kg"/>
    <x:tableColumn id="5" name="Distance from Wrist m"/>
    <x:tableColumn id="6" name="Estimated Moment kg*m"/>
    <x:tableColumn id="7" name="Engineering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a182b041b64f0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2" hidden="0" customWidth="1"/>
  </x:cols>
  <x:sheetData>
    <x:row r="1">
      <x:c r="A1" s="8" t="str">
        <x:v>Load Category</x:v>
      </x:c>
      <x:c r="B1" s="8" t="str">
        <x:v>Component</x:v>
      </x:c>
      <x:c r="C1" s="8" t="str">
        <x:v>Estimated Mass kg</x:v>
      </x:c>
      <x:c r="D1" s="8" t="str">
        <x:v>Max Mass kg</x:v>
      </x:c>
      <x:c r="E1" s="8" t="str">
        <x:v>Distance from Wrist m</x:v>
      </x:c>
      <x:c r="F1" s="8" t="str">
        <x:v>Estimated Moment kg*m</x:v>
      </x:c>
      <x:c r="G1" s="8" t="str">
        <x:v>Engineering Note</x:v>
      </x:c>
    </x:row>
    <x:row r="2">
      <x:c r="A2" s="10" t="str">
        <x:v>End Effector</x:v>
      </x:c>
      <x:c r="B2" s="10" t="str">
        <x:v>Dual-bell rotary thermoplastic paint gun</x:v>
      </x:c>
      <x:c r="C2" s="12" t="n">
        <x:v>12</x:v>
      </x:c>
      <x:c r="D2" s="12" t="n">
        <x:v>16</x:v>
      </x:c>
      <x:c r="E2" s="12" t="n">
        <x:v>0.18</x:v>
      </x:c>
      <x:c r="F2" s="12" t="n">
        <x:f>D2*E2</x:f>
        <x:v>2.88</x:v>
      </x:c>
      <x:c r="G2" s="10" t="str">
        <x:v>Main application tool; high-temperature metal body</x:v>
      </x:c>
    </x:row>
    <x:row r="3">
      <x:c r="A3" s="10" t="str">
        <x:v>Drive</x:v>
      </x:c>
      <x:c r="B3" s="10" t="str">
        <x:v>Hydraulic rotary bell drive / motor group</x:v>
      </x:c>
      <x:c r="C3" s="12" t="n">
        <x:v>5</x:v>
      </x:c>
      <x:c r="D3" s="12" t="n">
        <x:v>7</x:v>
      </x:c>
      <x:c r="E3" s="12" t="n">
        <x:v>0.15</x:v>
      </x:c>
      <x:c r="F3" s="12" t="n">
        <x:f>D3*E3</x:f>
        <x:v>1.05</x:v>
      </x:c>
      <x:c r="G3" s="10" t="str">
        <x:v>Rotary bell torque system</x:v>
      </x:c>
    </x:row>
    <x:row r="4">
      <x:c r="A4" s="10" t="str">
        <x:v>Thermal</x:v>
      </x:c>
      <x:c r="B4" s="10" t="str">
        <x:v>Final induction heating section on robot arm</x:v>
      </x:c>
      <x:c r="C4" s="12" t="n">
        <x:v>6</x:v>
      </x:c>
      <x:c r="D4" s="12" t="n">
        <x:v>9</x:v>
      </x:c>
      <x:c r="E4" s="12" t="n">
        <x:v>0.25</x:v>
      </x:c>
      <x:c r="F4" s="12" t="n">
        <x:f>D4*E4</x:f>
        <x:v>2.25</x:v>
      </x:c>
      <x:c r="G4" s="10" t="str">
        <x:v>Last heating / temperature maintenance zone</x:v>
      </x:c>
    </x:row>
    <x:row r="5">
      <x:c r="A5" s="10" t="str">
        <x:v>Paint Line</x:v>
      </x:c>
      <x:c r="B5" s="10" t="str">
        <x:v>Heated paint transfer hose with paint inside</x:v>
      </x:c>
      <x:c r="C5" s="12" t="n">
        <x:v>4</x:v>
      </x:c>
      <x:c r="D5" s="12" t="n">
        <x:v>6</x:v>
      </x:c>
      <x:c r="E5" s="12" t="n">
        <x:v>0.3</x:v>
      </x:c>
      <x:c r="F5" s="12" t="n">
        <x:f>D5*E5</x:f>
        <x:v>1.7999999999999998</x:v>
      </x:c>
      <x:c r="G5" s="10" t="str">
        <x:v>Includes hot thermoplastic material inside line</x:v>
      </x:c>
    </x:row>
    <x:row r="6">
      <x:c r="A6" s="10" t="str">
        <x:v>Pneumatic</x:v>
      </x:c>
      <x:c r="B6" s="10" t="str">
        <x:v>Atomizing / stabilization air lines</x:v>
      </x:c>
      <x:c r="C6" s="12" t="n">
        <x:v>2</x:v>
      </x:c>
      <x:c r="D6" s="12" t="n">
        <x:v>3</x:v>
      </x:c>
      <x:c r="E6" s="12" t="n">
        <x:v>0.22</x:v>
      </x:c>
      <x:c r="F6" s="12" t="n">
        <x:f>D6*E6</x:f>
        <x:v>0.66</x:v>
      </x:c>
      <x:c r="G6" s="10" t="str">
        <x:v>Air lines and fittings</x:v>
      </x:c>
    </x:row>
    <x:row r="7">
      <x:c r="A7" s="10" t="str">
        <x:v>Cleaning</x:v>
      </x:c>
      <x:c r="B7" s="10" t="str">
        <x:v>Purge / cleaning line</x:v>
      </x:c>
      <x:c r="C7" s="12" t="n">
        <x:v>2</x:v>
      </x:c>
      <x:c r="D7" s="12" t="n">
        <x:v>3</x:v>
      </x:c>
      <x:c r="E7" s="12" t="n">
        <x:v>0.22</x:v>
      </x:c>
      <x:c r="F7" s="12" t="n">
        <x:f>D7*E7</x:f>
        <x:v>0.66</x:v>
      </x:c>
      <x:c r="G7" s="10" t="str">
        <x:v>Cleaning fluid / purge path</x:v>
      </x:c>
    </x:row>
    <x:row r="8">
      <x:c r="A8" s="10" t="str">
        <x:v>Extraction</x:v>
      </x:c>
      <x:c r="B8" s="10" t="str">
        <x:v>Paint dust extraction hose</x:v>
      </x:c>
      <x:c r="C8" s="12" t="n">
        <x:v>4</x:v>
      </x:c>
      <x:c r="D8" s="12" t="n">
        <x:v>6</x:v>
      </x:c>
      <x:c r="E8" s="12" t="n">
        <x:v>0.35</x:v>
      </x:c>
      <x:c r="F8" s="12" t="n">
        <x:f>D8*E8</x:f>
        <x:v>2.0999999999999996</x:v>
      </x:c>
      <x:c r="G8" s="10" t="str">
        <x:v>Flexible hose and suction interface</x:v>
      </x:c>
    </x:row>
    <x:row r="9">
      <x:c r="A9" s="10" t="str">
        <x:v>Sensors</x:v>
      </x:c>
      <x:c r="B9" s="10" t="str">
        <x:v>Height, temperature, pressure and RPM sensors</x:v>
      </x:c>
      <x:c r="C9" s="12" t="n">
        <x:v>2</x:v>
      </x:c>
      <x:c r="D9" s="12" t="n">
        <x:v>3</x:v>
      </x:c>
      <x:c r="E9" s="12" t="n">
        <x:v>0.2</x:v>
      </x:c>
      <x:c r="F9" s="12" t="n">
        <x:f>D9*E9</x:f>
        <x:v>0.6000000000000001</x:v>
      </x:c>
      <x:c r="G9" s="10" t="str">
        <x:v>Sensor package and brackets</x:v>
      </x:c>
    </x:row>
    <x:row r="10">
      <x:c r="A10" s="10" t="str">
        <x:v>Cabling</x:v>
      </x:c>
      <x:c r="B10" s="10" t="str">
        <x:v>Sensor harness, Ethernet, safety wiring</x:v>
      </x:c>
      <x:c r="C10" s="12" t="n">
        <x:v>2</x:v>
      </x:c>
      <x:c r="D10" s="12" t="n">
        <x:v>3</x:v>
      </x:c>
      <x:c r="E10" s="12" t="n">
        <x:v>0.3</x:v>
      </x:c>
      <x:c r="F10" s="12" t="n">
        <x:f>D10*E10</x:f>
        <x:v>0.8999999999999999</x:v>
      </x:c>
      <x:c r="G10" s="10" t="str">
        <x:v>Cable bundle along robot arm</x:v>
      </x:c>
    </x:row>
    <x:row r="11">
      <x:c r="A11" s="10" t="str">
        <x:v>Adapter</x:v>
      </x:c>
      <x:c r="B11" s="10" t="str">
        <x:v>Robot wrist adapter / mounting bracket</x:v>
      </x:c>
      <x:c r="C11" s="12" t="n">
        <x:v>4</x:v>
      </x:c>
      <x:c r="D11" s="12" t="n">
        <x:v>6</x:v>
      </x:c>
      <x:c r="E11" s="12" t="n">
        <x:v>0.12</x:v>
      </x:c>
      <x:c r="F11" s="12" t="n">
        <x:f>D11*E11</x:f>
        <x:v>0.72</x:v>
      </x:c>
      <x:c r="G11" s="10" t="str">
        <x:v>Heavy-duty quick-mount plate</x:v>
      </x:c>
    </x:row>
    <x:row r="12">
      <x:c r="A12" s="10" t="str">
        <x:v>Protection</x:v>
      </x:c>
      <x:c r="B12" s="10" t="str">
        <x:v>Thermal shields and vibration isolation parts</x:v>
      </x:c>
      <x:c r="C12" s="12" t="n">
        <x:v>3</x:v>
      </x:c>
      <x:c r="D12" s="12" t="n">
        <x:v>5</x:v>
      </x:c>
      <x:c r="E12" s="12" t="n">
        <x:v>0.18</x:v>
      </x:c>
      <x:c r="F12" s="12" t="n">
        <x:f>D12*E12</x:f>
        <x:v>0.8999999999999999</x:v>
      </x:c>
      <x:c r="G12" s="10" t="str">
        <x:v>Protective covers and dampers</x:v>
      </x:c>
    </x:row>
    <x:row r="13">
      <x:c r="C13" s="13"/>
      <x:c r="D13" s="13"/>
      <x:c r="E13" s="13"/>
      <x:c r="F13" s="13"/>
    </x:row>
    <x:row r="14">
      <x:c r="C14" s="13"/>
      <x:c r="D14" s="13"/>
      <x:c r="E14" s="13"/>
      <x:c r="F14" s="13"/>
    </x:row>
    <x:row r="15">
      <x:c r="A15" s="20" t="str">
        <x:v>Summary Metric</x:v>
      </x:c>
      <x:c r="B15" s="20" t="str">
        <x:v>Value</x:v>
      </x:c>
      <x:c r="C15" s="13"/>
      <x:c r="D15" s="13"/>
      <x:c r="E15" s="13"/>
      <x:c r="F15" s="13"/>
    </x:row>
    <x:row r="16">
      <x:c r="A16" s="10" t="str">
        <x:v>Estimated Total Working Mass kg</x:v>
      </x:c>
      <x:c r="B16" s="10" t="n">
        <x:f>SUM(C2:C12)</x:f>
        <x:v>46</x:v>
      </x:c>
      <x:c r="C16" s="13"/>
      <x:c r="D16" s="13"/>
      <x:c r="E16" s="13"/>
      <x:c r="F16" s="13"/>
    </x:row>
    <x:row r="17">
      <x:c r="A17" s="10" t="str">
        <x:v>Maximum Estimated End-Effector Mass kg</x:v>
      </x:c>
      <x:c r="B17" s="10" t="n">
        <x:f>SUM(D2:D12)</x:f>
        <x:v>67</x:v>
      </x:c>
      <x:c r="C17" s="13"/>
      <x:c r="D17" s="13"/>
      <x:c r="E17" s="13"/>
      <x:c r="F17" s="13"/>
    </x:row>
    <x:row r="18">
      <x:c r="A18" s="10" t="str">
        <x:v>Total Wrist Moment kg*m</x:v>
      </x:c>
      <x:c r="B18" s="10" t="n">
        <x:f>SUM(F2:F12)</x:f>
        <x:v>14.52</x:v>
      </x:c>
      <x:c r="C18" s="13"/>
      <x:c r="D18" s="13"/>
      <x:c r="E18" s="13"/>
      <x:c r="F18" s="13"/>
    </x:row>
    <x:row r="19">
      <x:c r="A19" s="10" t="str">
        <x:v>Safety Factor</x:v>
      </x:c>
      <x:c r="B19" s="10" t="n">
        <x:v>1.5</x:v>
      </x:c>
      <x:c r="C19" s="13"/>
      <x:c r="D19" s="13"/>
      <x:c r="E19" s="13"/>
      <x:c r="F19" s="13"/>
    </x:row>
    <x:row r="20">
      <x:c r="A20" s="10" t="str">
        <x:v>Recommended Minimum Payload kg</x:v>
      </x:c>
      <x:c r="B20" s="10" t="n">
        <x:f>B17*B19</x:f>
        <x:v>100.5</x:v>
      </x:c>
      <x:c r="C20" s="13"/>
      <x:c r="D20" s="13"/>
      <x:c r="E20" s="13"/>
      <x:c r="F20" s="13"/>
    </x:row>
    <x:row r="21">
      <x:c r="A21" s="10" t="str">
        <x:v>Recommended Practical Robot Class</x:v>
      </x:c>
      <x:c r="B21" s="10" t="str">
        <x:v>50–70 kg industrial class</x:v>
      </x:c>
    </x:row>
    <x:row r="22">
      <x:c r="A22" s="10" t="str">
        <x:v>Preferred Reference Platform</x:v>
      </x:c>
      <x:c r="B22" s="10" t="str">
        <x:v>KUKA KR 50 class or equivalent</x:v>
      </x:c>
    </x:row>
  </x:sheetData>
  <x:pageMargins left="0.7" right="0.7" top="0.75" bottom="0.75" header="0.3" footer="0.3"/>
  <x:tableParts count="1">
    <x:tablePart xmlns:r="http://schemas.openxmlformats.org/officeDocument/2006/relationships" r:id="R90a182b041b64f07"/>
  </x:tableParts>
</x:worksheet>
</file>