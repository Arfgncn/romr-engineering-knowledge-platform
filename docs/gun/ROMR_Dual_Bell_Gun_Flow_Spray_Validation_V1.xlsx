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123411038344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n Flow Validation" sheetId="1" r:id="Rf60dd5e457ae44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e0d951a04b4985" /><Relationship Type="http://schemas.openxmlformats.org/officeDocument/2006/relationships/theme" Target="/xl/theme/theme1.xml" Id="Rfdb895de764e4e47" /><Relationship Type="http://schemas.openxmlformats.org/officeDocument/2006/relationships/sharedStrings" Target="/xl/sharedStrings.xml" Id="Rfab6c734aded4743" /><Relationship Type="http://schemas.openxmlformats.org/officeDocument/2006/relationships/worksheet" Target="/xl/worksheets/sheet1.xml" Id="Rf60dd5e457ae44e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f7e835ee3df4f1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Flow Rate by Test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Test Mode</c:v>
          </c:tx>
          <c:cat>
            <c:strRef>
              <c:f>'Gun Flow Validation'!$A$2:$A$6</c:f>
              <c:strCache>
                <c:ptCount val="0"/>
              </c:strCache>
            </c:strRef>
          </c:cat>
          <c:val>
            <c:numRef>
              <c:f>'Gun Flow Validation'!$B$2:$B$6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Duration min</c:v>
          </c:tx>
          <c:cat>
            <c:strRef>
              <c:f>'Gun Flow Validation'!$A$2:$A$6</c:f>
              <c:strCache>
                <c:ptCount val="0"/>
              </c:strCache>
            </c:strRef>
          </c:cat>
          <c:val>
            <c:numRef>
              <c:f>'Gun Flow Validation'!$C$2:$C$6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Collected Paint kg</c:v>
          </c:tx>
          <c:cat>
            <c:strRef>
              <c:f>'Gun Flow Validation'!$A$2:$A$6</c:f>
              <c:strCache>
                <c:ptCount val="0"/>
              </c:strCache>
            </c:strRef>
          </c:cat>
          <c:val>
            <c:numRef>
              <c:f>'Gun Flow Validation'!$D$2:$D$6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Flow Rate kg/h</c:v>
          </c:tx>
          <c:cat>
            <c:strRef>
              <c:f>'Gun Flow Validation'!$A$2:$A$6</c:f>
              <c:strCache>
                <c:ptCount val="0"/>
              </c:strCache>
            </c:strRef>
          </c:cat>
          <c:val>
            <c:numRef>
              <c:f>'Gun Flow Validation'!$E$2:$E$6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7e835ee3df4f1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unFlowValidationTable" displayName="GunFlowValidationTable" ref="A1:L6" headerRowCount="1">
  <x:tableColumns count="12">
    <x:tableColumn id="1" name="Test ID"/>
    <x:tableColumn id="2" name="Test Mode"/>
    <x:tableColumn id="3" name="Duration min"/>
    <x:tableColumn id="4" name="Collected Paint kg"/>
    <x:tableColumn id="5" name="Flow Rate kg/h"/>
    <x:tableColumn id="6" name="Paint Temp C"/>
    <x:tableColumn id="7" name="Bell RPM"/>
    <x:tableColumn id="8" name="Air Pressure bar"/>
    <x:tableColumn id="9" name="Line Width cm"/>
    <x:tableColumn id="10" name="Thickness mm"/>
    <x:tableColumn id="11" name="Status"/>
    <x:tableColumn id="12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add612401f6429c" /><Relationship Type="http://schemas.openxmlformats.org/officeDocument/2006/relationships/table" Target="/xl/tables/table1.xml" Id="R512c48176f82464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12" max="12" width="4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>
      <x:c r="A1" s="8" t="str">
        <x:v>Test ID</x:v>
      </x:c>
      <x:c r="B1" s="8" t="str">
        <x:v>Test Mode</x:v>
      </x:c>
      <x:c r="C1" s="8" t="str">
        <x:v>Duration min</x:v>
      </x:c>
      <x:c r="D1" s="8" t="str">
        <x:v>Collected Paint kg</x:v>
      </x:c>
      <x:c r="E1" s="8" t="str">
        <x:v>Flow Rate kg/h</x:v>
      </x:c>
      <x:c r="F1" s="8" t="str">
        <x:v>Paint Temp C</x:v>
      </x:c>
      <x:c r="G1" s="8" t="str">
        <x:v>Bell RPM</x:v>
      </x:c>
      <x:c r="H1" s="8" t="str">
        <x:v>Air Pressure bar</x:v>
      </x:c>
      <x:c r="I1" s="8" t="str">
        <x:v>Line Width cm</x:v>
      </x:c>
      <x:c r="J1" s="8" t="str">
        <x:v>Thickness mm</x:v>
      </x:c>
      <x:c r="K1" s="8" t="str">
        <x:v>Status</x:v>
      </x:c>
      <x:c r="L1" s="8" t="str">
        <x:v>Notes</x:v>
      </x:c>
    </x:row>
    <x:row r="2">
      <x:c r="A2" s="9" t="str">
        <x:v>GUN-001</x:v>
      </x:c>
      <x:c r="B2" s="9" t="str">
        <x:v>Static warm flow</x:v>
      </x:c>
      <x:c r="C2" s="12" t="n">
        <x:v>1</x:v>
      </x:c>
      <x:c r="D2" s="12" t="n">
        <x:v>2</x:v>
      </x:c>
      <x:c r="E2" s="12" t="n">
        <x:f>D2/C2*60</x:f>
        <x:v>120</x:v>
      </x:c>
      <x:c r="F2" s="12" t="n">
        <x:v>210</x:v>
      </x:c>
      <x:c r="G2" s="12" t="n">
        <x:v>150</x:v>
      </x:c>
      <x:c r="H2" s="12" t="n">
        <x:v>2</x:v>
      </x:c>
      <x:c r="I2" s="12" t="n">
        <x:v>12</x:v>
      </x:c>
      <x:c r="J2" s="12" t="n">
        <x:v>1.5</x:v>
      </x:c>
      <x:c r="K2" s="9" t="str">
        <x:v>Prototype target</x:v>
      </x:c>
      <x:c r="L2" s="9" t="str">
        <x:v>Initial low RPM warm flow</x:v>
      </x:c>
    </x:row>
    <x:row r="3">
      <x:c r="A3" s="9" t="str">
        <x:v>GUN-002</x:v>
      </x:c>
      <x:c r="B3" s="9" t="str">
        <x:v>Static warm flow</x:v>
      </x:c>
      <x:c r="C3" s="12" t="n">
        <x:v>1</x:v>
      </x:c>
      <x:c r="D3" s="12" t="n">
        <x:v>3</x:v>
      </x:c>
      <x:c r="E3" s="12" t="n">
        <x:f>D3/C3*60</x:f>
        <x:v>180</x:v>
      </x:c>
      <x:c r="F3" s="12" t="n">
        <x:v>215</x:v>
      </x:c>
      <x:c r="G3" s="12" t="n">
        <x:v>250</x:v>
      </x:c>
      <x:c r="H3" s="12" t="n">
        <x:v>2.5</x:v>
      </x:c>
      <x:c r="I3" s="12" t="n">
        <x:v>14</x:v>
      </x:c>
      <x:c r="J3" s="12" t="n">
        <x:v>1.5</x:v>
      </x:c>
      <x:c r="K3" s="9" t="str">
        <x:v>Prototype target</x:v>
      </x:c>
      <x:c r="L3" s="9" t="str">
        <x:v>Nominal initial case</x:v>
      </x:c>
    </x:row>
    <x:row r="4">
      <x:c r="A4" s="9" t="str">
        <x:v>GUN-003</x:v>
      </x:c>
      <x:c r="B4" s="9" t="str">
        <x:v>Static warm flow</x:v>
      </x:c>
      <x:c r="C4" s="12" t="n">
        <x:v>1</x:v>
      </x:c>
      <x:c r="D4" s="12" t="n">
        <x:v>3.5</x:v>
      </x:c>
      <x:c r="E4" s="12" t="n">
        <x:f>D4/C4*60</x:f>
        <x:v>210</x:v>
      </x:c>
      <x:c r="F4" s="12" t="n">
        <x:v>220</x:v>
      </x:c>
      <x:c r="G4" s="12" t="n">
        <x:v>350</x:v>
      </x:c>
      <x:c r="H4" s="12" t="n">
        <x:v>3</x:v>
      </x:c>
      <x:c r="I4" s="12" t="n">
        <x:v>15</x:v>
      </x:c>
      <x:c r="J4" s="12" t="n">
        <x:v>1.7</x:v>
      </x:c>
      <x:c r="K4" s="9" t="str">
        <x:v>Prototype target</x:v>
      </x:c>
      <x:c r="L4" s="9" t="str">
        <x:v>Higher RPM and air stabilization</x:v>
      </x:c>
    </x:row>
    <x:row r="5">
      <x:c r="A5" s="9" t="str">
        <x:v>GUN-004</x:v>
      </x:c>
      <x:c r="B5" s="9" t="str">
        <x:v>Robot motion test</x:v>
      </x:c>
      <x:c r="C5" s="12" t="n">
        <x:v>2</x:v>
      </x:c>
      <x:c r="D5" s="12" t="n">
        <x:v>5</x:v>
      </x:c>
      <x:c r="E5" s="12" t="n">
        <x:f>D5/C5*60</x:f>
        <x:v>150</x:v>
      </x:c>
      <x:c r="F5" s="12" t="n">
        <x:v>220</x:v>
      </x:c>
      <x:c r="G5" s="12" t="n">
        <x:v>300</x:v>
      </x:c>
      <x:c r="H5" s="12" t="n">
        <x:v>2.8</x:v>
      </x:c>
      <x:c r="I5" s="12" t="n">
        <x:v>14</x:v>
      </x:c>
      <x:c r="J5" s="12" t="n">
        <x:v>1.5</x:v>
      </x:c>
      <x:c r="K5" s="9" t="str">
        <x:v>To validate</x:v>
      </x:c>
      <x:c r="L5" s="9" t="str">
        <x:v>Robot moving at reference speed</x:v>
      </x:c>
    </x:row>
    <x:row r="6">
      <x:c r="A6" s="9" t="str">
        <x:v>GUN-005</x:v>
      </x:c>
      <x:c r="B6" s="9" t="str">
        <x:v>Longer continuous test</x:v>
      </x:c>
      <x:c r="C6" s="12" t="n">
        <x:v>5</x:v>
      </x:c>
      <x:c r="D6" s="12" t="n">
        <x:v>15</x:v>
      </x:c>
      <x:c r="E6" s="12" t="n">
        <x:f>D6/C6*60</x:f>
        <x:v>180</x:v>
      </x:c>
      <x:c r="F6" s="12" t="n">
        <x:v>218</x:v>
      </x:c>
      <x:c r="G6" s="12" t="n">
        <x:v>300</x:v>
      </x:c>
      <x:c r="H6" s="12" t="n">
        <x:v>2.8</x:v>
      </x:c>
      <x:c r="I6" s="12" t="n">
        <x:v>14</x:v>
      </x:c>
      <x:c r="J6" s="12" t="n">
        <x:v>1.5</x:v>
      </x:c>
      <x:c r="K6" s="9" t="str">
        <x:v>To validate</x:v>
      </x:c>
      <x:c r="L6" s="9" t="str">
        <x:v>Thermal stability and clogging check</x:v>
      </x:c>
    </x:row>
    <x:row r="7">
      <x:c r="C7" s="13"/>
      <x:c r="D7" s="13"/>
      <x:c r="E7" s="13"/>
      <x:c r="F7" s="13"/>
      <x:c r="G7" s="13"/>
      <x:c r="H7" s="13"/>
      <x:c r="I7" s="13"/>
      <x:c r="J7" s="13"/>
    </x:row>
    <x:row r="8">
      <x:c r="C8" s="13"/>
      <x:c r="D8" s="13"/>
      <x:c r="E8" s="13"/>
      <x:c r="F8" s="13"/>
      <x:c r="G8" s="13"/>
      <x:c r="H8" s="13"/>
      <x:c r="I8" s="13"/>
      <x:c r="J8" s="13"/>
    </x:row>
    <x:row r="9">
      <x:c r="A9" s="18" t="str">
        <x:v>Summary Metric</x:v>
      </x:c>
      <x:c r="B9" s="18" t="str">
        <x:v>Value</x:v>
      </x:c>
      <x:c r="C9" s="13"/>
      <x:c r="D9" s="13"/>
      <x:c r="E9" s="13"/>
      <x:c r="F9" s="13"/>
      <x:c r="G9" s="13"/>
      <x:c r="H9" s="13"/>
      <x:c r="I9" s="13"/>
      <x:c r="J9" s="13"/>
    </x:row>
    <x:row r="10">
      <x:c r="A10" t="str">
        <x:v>Average Flow kg/h</x:v>
      </x:c>
      <x:c r="B10" t="n">
        <x:f>AVERAGE(E2:E6)</x:f>
        <x:v>168</x:v>
      </x:c>
      <x:c r="C10" s="13"/>
      <x:c r="D10" s="13"/>
      <x:c r="E10" s="13"/>
      <x:c r="F10" s="13"/>
      <x:c r="G10" s="13"/>
      <x:c r="H10" s="13"/>
      <x:c r="I10" s="13"/>
      <x:c r="J10" s="13"/>
    </x:row>
    <x:row r="11">
      <x:c r="A11" t="str">
        <x:v>Max Flow kg/h</x:v>
      </x:c>
      <x:c r="B11" t="n">
        <x:f>MAX(E2:E6)</x:f>
        <x:v>210</x:v>
      </x:c>
      <x:c r="C11" s="13"/>
      <x:c r="D11" s="13"/>
      <x:c r="E11" s="13"/>
      <x:c r="F11" s="13"/>
      <x:c r="G11" s="13"/>
      <x:c r="H11" s="13"/>
      <x:c r="I11" s="13"/>
      <x:c r="J11" s="13"/>
    </x:row>
    <x:row r="12">
      <x:c r="A12" t="str">
        <x:v>Min Flow kg/h</x:v>
      </x:c>
      <x:c r="B12" t="n">
        <x:f>MIN(E2:E6)</x:f>
        <x:v>120</x:v>
      </x:c>
      <x:c r="C12" s="13"/>
      <x:c r="D12" s="13"/>
      <x:c r="E12" s="13"/>
      <x:c r="F12" s="13"/>
      <x:c r="G12" s="13"/>
      <x:c r="H12" s="13"/>
      <x:c r="I12" s="13"/>
      <x:c r="J12" s="13"/>
    </x:row>
    <x:row r="13">
      <x:c r="A13" t="str">
        <x:v>Target Lower kg/h</x:v>
      </x:c>
      <x:c r="B13" t="n">
        <x:v>120</x:v>
      </x:c>
      <x:c r="C13" s="13"/>
      <x:c r="D13" s="13"/>
      <x:c r="E13" s="13"/>
      <x:c r="F13" s="13"/>
      <x:c r="G13" s="13"/>
      <x:c r="H13" s="13"/>
      <x:c r="I13" s="13"/>
      <x:c r="J13" s="13"/>
    </x:row>
    <x:row r="14">
      <x:c r="A14" t="str">
        <x:v>Target Upper kg/h</x:v>
      </x:c>
      <x:c r="B14" t="n">
        <x:v>200</x:v>
      </x:c>
      <x:c r="C14" s="13"/>
      <x:c r="D14" s="13"/>
      <x:c r="E14" s="13"/>
      <x:c r="F14" s="13"/>
      <x:c r="G14" s="13"/>
      <x:c r="H14" s="13"/>
      <x:c r="I14" s="13"/>
      <x:c r="J14" s="13"/>
    </x:row>
    <x:row r="15">
      <x:c r="C15" s="13"/>
      <x:c r="D15" s="13"/>
      <x:c r="E15" s="13"/>
      <x:c r="F15" s="13"/>
      <x:c r="G15" s="13"/>
      <x:c r="H15" s="13"/>
      <x:c r="I15" s="13"/>
      <x:c r="J15" s="13"/>
    </x:row>
    <x:row r="16">
      <x:c r="C16" s="13"/>
      <x:c r="D16" s="13"/>
      <x:c r="E16" s="13"/>
      <x:c r="F16" s="13"/>
      <x:c r="G16" s="13"/>
      <x:c r="H16" s="13"/>
      <x:c r="I16" s="13"/>
      <x:c r="J16" s="13"/>
    </x:row>
    <x:row r="17">
      <x:c r="C17" s="13"/>
      <x:c r="D17" s="13"/>
      <x:c r="E17" s="13"/>
      <x:c r="F17" s="13"/>
      <x:c r="G17" s="13"/>
      <x:c r="H17" s="13"/>
      <x:c r="I17" s="13"/>
      <x:c r="J17" s="13"/>
    </x:row>
    <x:row r="18">
      <x:c r="C18" s="13"/>
      <x:c r="D18" s="13"/>
      <x:c r="E18" s="13"/>
      <x:c r="F18" s="13"/>
      <x:c r="G18" s="13"/>
      <x:c r="H18" s="13"/>
      <x:c r="I18" s="13"/>
      <x:c r="J18" s="13"/>
    </x:row>
    <x:row r="19">
      <x:c r="C19" s="13"/>
      <x:c r="D19" s="13"/>
      <x:c r="E19" s="13"/>
      <x:c r="F19" s="13"/>
      <x:c r="G19" s="13"/>
      <x:c r="H19" s="13"/>
      <x:c r="I19" s="13"/>
      <x:c r="J19" s="13"/>
    </x:row>
    <x:row r="20">
      <x:c r="C20" s="13"/>
      <x:c r="D20" s="13"/>
      <x:c r="E20" s="13"/>
      <x:c r="F20" s="13"/>
      <x:c r="G20" s="13"/>
      <x:c r="H20" s="13"/>
      <x:c r="I20" s="13"/>
      <x:c r="J20" s="13"/>
    </x:row>
  </x:sheetData>
  <x:pageMargins left="0.7" right="0.7" top="0.75" bottom="0.75" header="0.3" footer="0.3"/>
  <x:drawing xmlns:r="http://schemas.openxmlformats.org/officeDocument/2006/relationships" r:id="Rbadd612401f6429c"/>
  <x:tableParts count="1">
    <x:tablePart xmlns:r="http://schemas.openxmlformats.org/officeDocument/2006/relationships" r:id="R512c48176f824640"/>
  </x:tableParts>
</x:worksheet>
</file>